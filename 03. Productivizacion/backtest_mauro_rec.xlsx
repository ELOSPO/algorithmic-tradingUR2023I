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Repos_AlgoTrading\algorithmic-tradingUR2023I\03. Productivizacion\"/>
    </mc:Choice>
  </mc:AlternateContent>
  <xr:revisionPtr revIDLastSave="0" documentId="13_ncr:2001_{580EF2E6-1DA7-4DF4-9A43-DFFA51226FCC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Analisis_1" sheetId="3" r:id="rId1"/>
    <sheet name="Analisis_2" sheetId="4" r:id="rId2"/>
    <sheet name="Analisis_3" sheetId="5" r:id="rId3"/>
    <sheet name="Trades" sheetId="1" r:id="rId4"/>
    <sheet name="Resumen" sheetId="2" r:id="rId5"/>
  </sheets>
  <definedNames>
    <definedName name="_xlnm._FilterDatabase" localSheetId="3" hidden="1">Trades!$A$1:$L$107</definedName>
  </definedNames>
  <calcPr calcId="191029"/>
  <pivotCaches>
    <pivotCache cacheId="0" r:id="rId6"/>
    <pivotCache cacheId="1" r:id="rId7"/>
    <pivotCache cacheId="2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2" i="1"/>
</calcChain>
</file>

<file path=xl/sharedStrings.xml><?xml version="1.0" encoding="utf-8"?>
<sst xmlns="http://schemas.openxmlformats.org/spreadsheetml/2006/main" count="256" uniqueCount="35">
  <si>
    <t>Fecha Entrada</t>
  </si>
  <si>
    <t>Fecha Cierre</t>
  </si>
  <si>
    <t>Tipo</t>
  </si>
  <si>
    <t>Entrada Buy</t>
  </si>
  <si>
    <t>Entrada Sell</t>
  </si>
  <si>
    <t>Precio Cierre</t>
  </si>
  <si>
    <t>Motivo Cierre</t>
  </si>
  <si>
    <t>Profit</t>
  </si>
  <si>
    <t>Profit Acumulado</t>
  </si>
  <si>
    <t>BUY</t>
  </si>
  <si>
    <t>EMA</t>
  </si>
  <si>
    <t>SELL</t>
  </si>
  <si>
    <t>SL</t>
  </si>
  <si>
    <t>Resumen Backtesting - botMauro</t>
  </si>
  <si>
    <t>Total Trades</t>
  </si>
  <si>
    <t>Trades Ganadores</t>
  </si>
  <si>
    <t>Trades Perdedores</t>
  </si>
  <si>
    <t>Win Rate</t>
  </si>
  <si>
    <t>69.8%</t>
  </si>
  <si>
    <t>Profit Total</t>
  </si>
  <si>
    <t>Promedio Ganancia</t>
  </si>
  <si>
    <t>Promedio Pérdida</t>
  </si>
  <si>
    <t>Profit Factor</t>
  </si>
  <si>
    <t>Max Drawdown</t>
  </si>
  <si>
    <t>dia_semana</t>
  </si>
  <si>
    <t>Etiquetas de fila</t>
  </si>
  <si>
    <t>(en blanco)</t>
  </si>
  <si>
    <t>Total general</t>
  </si>
  <si>
    <t>Suma de Profit</t>
  </si>
  <si>
    <t>Cuenta de Fecha Entrada</t>
  </si>
  <si>
    <t>ganadora</t>
  </si>
  <si>
    <t>mov_pips</t>
  </si>
  <si>
    <t>Etiquetas de columna</t>
  </si>
  <si>
    <t>Duración días</t>
  </si>
  <si>
    <t>dia_cierre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</si>
</sst>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0070C0"/>
      <name val="Arial"/>
    </font>
    <font>
      <b/>
      <sz val="10"/>
      <color rgb="FF00B050"/>
      <name val="Arial"/>
    </font>
    <font>
      <sz val="10"/>
      <color rgb="FF00B050"/>
      <name val="Arial"/>
    </font>
    <font>
      <b/>
      <sz val="10"/>
      <color rgb="FFFF0000"/>
      <name val="Arial"/>
    </font>
    <font>
      <sz val="10"/>
      <color rgb="FFFF0000"/>
      <name val="Arial"/>
    </font>
    <font>
      <b/>
      <sz val="13"/>
      <color rgb="FFFFFFFF"/>
      <name val="Arial"/>
    </font>
    <font>
      <sz val="11"/>
      <name val="Arial"/>
    </font>
    <font>
      <b/>
      <sz val="11"/>
      <name val="Arial"/>
    </font>
    <font>
      <b/>
      <sz val="11"/>
      <color rgb="FF00B05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8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[backtest_mauro_rec.xlsx]Analisis_1!TablaDinámica1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Analisis_1!$B$3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Analisis_1!$A$4:$A$10</c:f>
              <c:strCach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(en blanco)</c:v>
                </c:pt>
              </c:strCache>
            </c:strRef>
          </c:cat>
          <c:val>
            <c:numRef>
              <c:f>Analisis_1!$B$4:$B$10</c:f>
              <c:numCache>
                <c:formatCode>General</c:formatCode>
                <c:ptCount val="6"/>
                <c:pt idx="0">
                  <c:v>34</c:v>
                </c:pt>
                <c:pt idx="1">
                  <c:v>17</c:v>
                </c:pt>
                <c:pt idx="2">
                  <c:v>24</c:v>
                </c:pt>
                <c:pt idx="3">
                  <c:v>20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7-46CD-BC2C-9CE08B8C1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434335"/>
        <c:axId val="790434815"/>
      </c:barChart>
      <c:catAx>
        <c:axId val="79043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0434815"/>
        <c:crosses val="autoZero"/>
        <c:auto val="1"/>
        <c:lblAlgn val="ctr"/>
        <c:lblOffset val="100"/>
        <c:noMultiLvlLbl val="0"/>
      </c:catAx>
      <c:valAx>
        <c:axId val="79043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043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[backtest_mauro_rec.xlsx]Analisis_1!TablaDinámica2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6299212598425"/>
          <c:y val="0.21926520499592719"/>
          <c:w val="0.76312053000809843"/>
          <c:h val="0.62220234862883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Analisis_1!$B$25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Analisis_1!$A$26:$A$32</c:f>
              <c:strCach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(en blanco)</c:v>
                </c:pt>
              </c:strCache>
            </c:strRef>
          </c:cat>
          <c:val>
            <c:numRef>
              <c:f>Analisis_1!$B$26:$B$32</c:f>
              <c:numCache>
                <c:formatCode>General</c:formatCode>
                <c:ptCount val="6"/>
                <c:pt idx="0">
                  <c:v>-7.0000000000000048E-5</c:v>
                </c:pt>
                <c:pt idx="1">
                  <c:v>-1.0000000000000003E-4</c:v>
                </c:pt>
                <c:pt idx="2">
                  <c:v>-3.7999999999999986E-4</c:v>
                </c:pt>
                <c:pt idx="3">
                  <c:v>4.4000000000000002E-4</c:v>
                </c:pt>
                <c:pt idx="4">
                  <c:v>5.6000000000000017E-4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D-4755-8C5B-7A0C6545A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438175"/>
        <c:axId val="790439135"/>
      </c:barChart>
      <c:catAx>
        <c:axId val="79043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0439135"/>
        <c:crosses val="autoZero"/>
        <c:auto val="1"/>
        <c:lblAlgn val="ctr"/>
        <c:lblOffset val="100"/>
        <c:noMultiLvlLbl val="0"/>
      </c:catAx>
      <c:valAx>
        <c:axId val="79043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043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[backtest_mauro_rec.xlsx]Analisis_2!TablaDinámica3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Analisis_2!$B$1:$B$2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Analisis_2!$A$3:$A$9</c:f>
              <c:strCach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(en blanco)</c:v>
                </c:pt>
              </c:strCache>
            </c:strRef>
          </c:cat>
          <c:val>
            <c:numRef>
              <c:f>Analisis_2!$B$3:$B$9</c:f>
              <c:numCache>
                <c:formatCode>General</c:formatCode>
                <c:ptCount val="6"/>
                <c:pt idx="0">
                  <c:v>14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9-43BB-917B-4B094C2BF16B}"/>
            </c:ext>
          </c:extLst>
        </c:ser>
        <c:ser>
          <c:idx val="1"/>
          <c:order val="1"/>
          <c:tx>
            <c:strRef>
              <c:f>Analisis_2!$C$1:$C$2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Analisis_2!$A$3:$A$9</c:f>
              <c:strCach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(en blanco)</c:v>
                </c:pt>
              </c:strCache>
            </c:strRef>
          </c:cat>
          <c:val>
            <c:numRef>
              <c:f>Analisis_2!$C$3:$C$9</c:f>
              <c:numCache>
                <c:formatCode>General</c:formatCode>
                <c:ptCount val="6"/>
                <c:pt idx="0">
                  <c:v>20</c:v>
                </c:pt>
                <c:pt idx="1">
                  <c:v>13</c:v>
                </c:pt>
                <c:pt idx="2">
                  <c:v>16</c:v>
                </c:pt>
                <c:pt idx="3">
                  <c:v>14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29-43BB-917B-4B094C2BF16B}"/>
            </c:ext>
          </c:extLst>
        </c:ser>
        <c:ser>
          <c:idx val="2"/>
          <c:order val="2"/>
          <c:tx>
            <c:strRef>
              <c:f>Analisis_2!$D$1:$D$2</c:f>
              <c:strCache>
                <c:ptCount val="1"/>
                <c:pt idx="0">
                  <c:v>(en blanco)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Analisis_2!$A$3:$A$9</c:f>
              <c:strCach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(en blanco)</c:v>
                </c:pt>
              </c:strCache>
            </c:strRef>
          </c:cat>
          <c:val>
            <c:numRef>
              <c:f>Analisis_2!$D$3:$D$9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C229-43BB-917B-4B094C2BF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0428095"/>
        <c:axId val="790435775"/>
      </c:barChart>
      <c:catAx>
        <c:axId val="79042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0435775"/>
        <c:crosses val="autoZero"/>
        <c:auto val="1"/>
        <c:lblAlgn val="ctr"/>
        <c:lblOffset val="100"/>
        <c:noMultiLvlLbl val="0"/>
      </c:catAx>
      <c:valAx>
        <c:axId val="79043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042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[backtest_mauro_rec.xlsx]Analisis_3!TablaDinámica4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Analisis_3!$B$3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Analisis_3!$A$4:$A$10</c:f>
              <c:strCach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(en blanco)</c:v>
                </c:pt>
              </c:strCache>
            </c:strRef>
          </c:cat>
          <c:val>
            <c:numRef>
              <c:f>Analisis_3!$B$4:$B$10</c:f>
              <c:numCache>
                <c:formatCode>General</c:formatCode>
                <c:ptCount val="6"/>
                <c:pt idx="0">
                  <c:v>5.6999999999999998E-4</c:v>
                </c:pt>
                <c:pt idx="1">
                  <c:v>5.0000000000000001E-4</c:v>
                </c:pt>
                <c:pt idx="2">
                  <c:v>5.0000000000000002E-5</c:v>
                </c:pt>
                <c:pt idx="3">
                  <c:v>-1.0000000000000005E-4</c:v>
                </c:pt>
                <c:pt idx="4">
                  <c:v>-5.7000000000000009E-4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D-4C51-BE25-0D3D5BC7A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464575"/>
        <c:axId val="790457375"/>
      </c:barChart>
      <c:catAx>
        <c:axId val="79046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0457375"/>
        <c:crosses val="autoZero"/>
        <c:auto val="1"/>
        <c:lblAlgn val="ctr"/>
        <c:lblOffset val="100"/>
        <c:noMultiLvlLbl val="0"/>
      </c:catAx>
      <c:valAx>
        <c:axId val="7904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046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455083</xdr:colOff>
      <xdr:row>2</xdr:row>
      <xdr:rowOff>46567</xdr:rowOff>
    </xdr:from>
    <xdr:to>
      <xdr:col>8</xdr:col>
      <xdr:colOff>228600</xdr:colOff>
      <xdr:row>16</xdr:row>
      <xdr:rowOff>93133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C7FF16-CAD1-2773-C3AE-4516B00F0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467783</xdr:colOff>
      <xdr:row>18</xdr:row>
      <xdr:rowOff>12700</xdr:rowOff>
    </xdr:from>
    <xdr:to>
      <xdr:col>8</xdr:col>
      <xdr:colOff>249767</xdr:colOff>
      <xdr:row>33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29B9AB-B6EA-F728-DAE0-EA704AB10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</xdr:row>
      <xdr:rowOff>82550</xdr:rowOff>
    </xdr:from>
    <xdr:to>
      <xdr:col>14</xdr:col>
      <xdr:colOff>234950</xdr:colOff>
      <xdr:row>23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6E8103-4ED8-9BB7-891D-56A300AC0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1</xdr:row>
      <xdr:rowOff>50800</xdr:rowOff>
    </xdr:from>
    <xdr:to>
      <xdr:col>10</xdr:col>
      <xdr:colOff>571500</xdr:colOff>
      <xdr:row>22</xdr:row>
      <xdr:rowOff>44450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9F803C-1B33-0C23-1179-117EDAAF9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0.784885763889" createdVersion="8" refreshedVersion="8" minRefreshableVersion="3" recordCount="107" xr:uid="{AED78AEA-0B41-4C13-990B-5098F0A85C5A}">
  <cacheSource type="worksheet">
    <worksheetSource ref="A1:K1048576" sheet="Trades"/>
  </cacheSource>
  <cacheFields count="10">
    <cacheField name="Fecha Entrada" numFmtId="0">
      <sharedItems containsNonDate="0" containsDate="1" containsString="0" containsBlank="1" minDate="2024-09-09T10:00:00" maxDate="2026-04-06T10:00:00"/>
    </cacheField>
    <cacheField name="Fecha Cierre" numFmtId="0">
      <sharedItems containsNonDate="0" containsDate="1" containsString="0" containsBlank="1" minDate="2024-09-12T21:00:00" maxDate="2026-04-07T03:00:00"/>
    </cacheField>
    <cacheField name="Tipo" numFmtId="0">
      <sharedItems containsBlank="1"/>
    </cacheField>
    <cacheField name="Entrada Buy" numFmtId="0">
      <sharedItems containsString="0" containsBlank="1" containsNumber="1" minValue="1.02502" maxValue="1.1849000000000001"/>
    </cacheField>
    <cacheField name="Entrada Sell" numFmtId="0">
      <sharedItems containsString="0" containsBlank="1" containsNumber="1" minValue="1.0307599999999999" maxValue="1.1852"/>
    </cacheField>
    <cacheField name="Precio Cierre" numFmtId="0">
      <sharedItems containsString="0" containsBlank="1" containsNumber="1" minValue="1.0281199999999999" maxValue="1.18668"/>
    </cacheField>
    <cacheField name="Motivo Cierre" numFmtId="0">
      <sharedItems containsBlank="1"/>
    </cacheField>
    <cacheField name="Profit" numFmtId="0">
      <sharedItems containsString="0" containsBlank="1" containsNumber="1" minValue="-5.6999999999999998E-4" maxValue="1.2999999999999999E-4"/>
    </cacheField>
    <cacheField name="Profit Acumulado" numFmtId="0">
      <sharedItems containsString="0" containsBlank="1" containsNumber="1" minValue="-6.4000000000000005E-4" maxValue="5.0000000000000001E-4"/>
    </cacheField>
    <cacheField name="dia_semana" numFmtId="0">
      <sharedItems containsString="0" containsBlank="1" containsNumber="1" containsInteger="1" minValue="2" maxValue="6" count="6">
        <n v="2"/>
        <n v="5"/>
        <n v="3"/>
        <n v="4"/>
        <n v="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0.793212152777" createdVersion="8" refreshedVersion="8" minRefreshableVersion="3" recordCount="107" xr:uid="{8C597EC2-61BF-45A0-984E-64CBE91D20E6}">
  <cacheSource type="worksheet">
    <worksheetSource ref="A1:L1048576" sheet="Trades"/>
  </cacheSource>
  <cacheFields count="12">
    <cacheField name="Fecha Entrada" numFmtId="0">
      <sharedItems containsNonDate="0" containsDate="1" containsString="0" containsBlank="1" minDate="2024-09-09T10:00:00" maxDate="2026-04-06T10:00:00"/>
    </cacheField>
    <cacheField name="Fecha Cierre" numFmtId="0">
      <sharedItems containsNonDate="0" containsDate="1" containsString="0" containsBlank="1" minDate="2024-09-12T21:00:00" maxDate="2026-04-07T03:00:00"/>
    </cacheField>
    <cacheField name="Tipo" numFmtId="0">
      <sharedItems containsBlank="1"/>
    </cacheField>
    <cacheField name="Entrada Buy" numFmtId="0">
      <sharedItems containsString="0" containsBlank="1" containsNumber="1" minValue="1.02502" maxValue="1.1849000000000001"/>
    </cacheField>
    <cacheField name="Entrada Sell" numFmtId="0">
      <sharedItems containsString="0" containsBlank="1" containsNumber="1" minValue="1.0307599999999999" maxValue="1.1852"/>
    </cacheField>
    <cacheField name="Precio Cierre" numFmtId="0">
      <sharedItems containsString="0" containsBlank="1" containsNumber="1" minValue="1.0281199999999999" maxValue="1.18668"/>
    </cacheField>
    <cacheField name="Motivo Cierre" numFmtId="0">
      <sharedItems containsBlank="1"/>
    </cacheField>
    <cacheField name="Profit" numFmtId="0">
      <sharedItems containsString="0" containsBlank="1" containsNumber="1" minValue="-5.6999999999999998E-4" maxValue="1.2999999999999999E-4"/>
    </cacheField>
    <cacheField name="mov_pips" numFmtId="0">
      <sharedItems containsString="0" containsBlank="1" containsNumber="1" minValue="-57" maxValue="12.999999999999998"/>
    </cacheField>
    <cacheField name="Profit Acumulado" numFmtId="0">
      <sharedItems containsString="0" containsBlank="1" containsNumber="1" minValue="-6.4000000000000005E-4" maxValue="5.0000000000000001E-4"/>
    </cacheField>
    <cacheField name="dia_semana" numFmtId="0">
      <sharedItems containsString="0" containsBlank="1" containsNumber="1" containsInteger="1" minValue="2" maxValue="6" count="6">
        <n v="2"/>
        <n v="5"/>
        <n v="3"/>
        <n v="4"/>
        <n v="6"/>
        <m/>
      </sharedItems>
    </cacheField>
    <cacheField name="ganadora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0.80020972222" createdVersion="8" refreshedVersion="8" minRefreshableVersion="3" recordCount="107" xr:uid="{AFF606FE-9771-42F6-8E8B-5A1E915BB8ED}">
  <cacheSource type="worksheet">
    <worksheetSource ref="A1:N1048576" sheet="Trades"/>
  </cacheSource>
  <cacheFields count="14">
    <cacheField name="Fecha Entrada" numFmtId="0">
      <sharedItems containsNonDate="0" containsDate="1" containsString="0" containsBlank="1" minDate="2024-09-09T10:00:00" maxDate="2026-04-06T10:00:00"/>
    </cacheField>
    <cacheField name="Fecha Cierre" numFmtId="0">
      <sharedItems containsNonDate="0" containsDate="1" containsString="0" containsBlank="1" minDate="2024-09-12T21:00:00" maxDate="2026-04-07T03:00:00"/>
    </cacheField>
    <cacheField name="Tipo" numFmtId="0">
      <sharedItems containsBlank="1"/>
    </cacheField>
    <cacheField name="Entrada Buy" numFmtId="0">
      <sharedItems containsString="0" containsBlank="1" containsNumber="1" minValue="1.02502" maxValue="1.1849000000000001"/>
    </cacheField>
    <cacheField name="Entrada Sell" numFmtId="0">
      <sharedItems containsString="0" containsBlank="1" containsNumber="1" minValue="1.0307599999999999" maxValue="1.1852"/>
    </cacheField>
    <cacheField name="Precio Cierre" numFmtId="0">
      <sharedItems containsString="0" containsBlank="1" containsNumber="1" minValue="1.0281199999999999" maxValue="1.18668"/>
    </cacheField>
    <cacheField name="Motivo Cierre" numFmtId="0">
      <sharedItems containsBlank="1"/>
    </cacheField>
    <cacheField name="Profit" numFmtId="0">
      <sharedItems containsString="0" containsBlank="1" containsNumber="1" minValue="-5.6999999999999998E-4" maxValue="1.2999999999999999E-4"/>
    </cacheField>
    <cacheField name="mov_pips" numFmtId="0">
      <sharedItems containsString="0" containsBlank="1" containsNumber="1" minValue="-57" maxValue="12.999999999999998"/>
    </cacheField>
    <cacheField name="Profit Acumulado" numFmtId="0">
      <sharedItems containsString="0" containsBlank="1" containsNumber="1" minValue="-6.4000000000000005E-4" maxValue="5.0000000000000001E-4"/>
    </cacheField>
    <cacheField name="dia_semana" numFmtId="0">
      <sharedItems containsString="0" containsBlank="1" containsNumber="1" containsInteger="1" minValue="2" maxValue="6"/>
    </cacheField>
    <cacheField name="ganadora" numFmtId="0">
      <sharedItems containsString="0" containsBlank="1" containsNumber="1" containsInteger="1" minValue="0" maxValue="1"/>
    </cacheField>
    <cacheField name="Duración días" numFmtId="0">
      <sharedItems containsString="0" containsBlank="1" containsNumber="1" minValue="4.166666665696539E-2" maxValue="28.958333333313931"/>
    </cacheField>
    <cacheField name="dia_cierre" numFmtId="0">
      <sharedItems containsString="0" containsBlank="1" containsNumber="1" containsInteger="1" minValue="2" maxValue="6" count="6">
        <n v="5"/>
        <n v="2"/>
        <n v="4"/>
        <n v="6"/>
        <n v="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d v="2024-09-09T10:00:00"/>
    <d v="2024-09-12T21:00:00"/>
    <s v="BUY"/>
    <n v="1.10592"/>
    <m/>
    <n v="1.10608"/>
    <s v="EMA"/>
    <n v="0"/>
    <n v="0"/>
    <x v="0"/>
  </r>
  <r>
    <d v="2024-09-12T21:00:00"/>
    <d v="2024-09-19T03:00:00"/>
    <s v="SELL"/>
    <m/>
    <n v="1.10608"/>
    <n v="1.1081700000000001"/>
    <s v="EMA"/>
    <n v="-2.0000000000000002E-5"/>
    <n v="-2.0000000000000002E-5"/>
    <x v="1"/>
  </r>
  <r>
    <d v="2024-09-23T10:00:00"/>
    <d v="2024-09-23T14:00:00"/>
    <s v="BUY"/>
    <n v="1.11015"/>
    <m/>
    <n v="1.11198"/>
    <s v="EMA"/>
    <n v="2.0000000000000002E-5"/>
    <n v="0"/>
    <x v="0"/>
  </r>
  <r>
    <d v="2024-09-24T21:00:00"/>
    <d v="2024-09-25T22:00:00"/>
    <s v="SELL"/>
    <m/>
    <n v="1.11663"/>
    <n v="1.11259"/>
    <s v="EMA"/>
    <n v="4.0000000000000003E-5"/>
    <n v="4.0000000000000003E-5"/>
    <x v="2"/>
  </r>
  <r>
    <d v="2024-09-25T22:00:00"/>
    <d v="2024-09-26T03:00:00"/>
    <s v="BUY"/>
    <n v="1.11259"/>
    <m/>
    <n v="1.11365"/>
    <s v="EMA"/>
    <n v="1.0000000000000001E-5"/>
    <n v="5.0000000000000002E-5"/>
    <x v="3"/>
  </r>
  <r>
    <d v="2024-10-01T11:00:00"/>
    <d v="2024-10-30T10:00:00"/>
    <s v="BUY"/>
    <n v="1.1102700000000001"/>
    <m/>
    <n v="1.08344"/>
    <s v="EMA"/>
    <n v="-2.7E-4"/>
    <n v="-2.2000000000000001E-4"/>
    <x v="2"/>
  </r>
  <r>
    <d v="2024-10-31T14:00:00"/>
    <d v="2024-11-01T19:00:00"/>
    <s v="SELL"/>
    <m/>
    <n v="1.0879700000000001"/>
    <n v="1.08361"/>
    <s v="EMA"/>
    <n v="4.0000000000000003E-5"/>
    <n v="-1.8000000000000001E-4"/>
    <x v="1"/>
  </r>
  <r>
    <d v="2024-11-05T18:00:00"/>
    <d v="2024-11-06T02:00:00"/>
    <s v="SELL"/>
    <m/>
    <n v="1.09199"/>
    <n v="1.0836399999999999"/>
    <s v="EMA"/>
    <n v="8.0000000000000007E-5"/>
    <n v="-1E-4"/>
    <x v="2"/>
  </r>
  <r>
    <d v="2024-11-06T02:00:00"/>
    <d v="2024-11-27T12:00:00"/>
    <s v="BUY"/>
    <n v="1.0836399999999999"/>
    <m/>
    <n v="1.05277"/>
    <s v="EMA"/>
    <n v="-3.1E-4"/>
    <n v="-4.0999999999999999E-4"/>
    <x v="3"/>
  </r>
  <r>
    <d v="2024-11-27T15:00:00"/>
    <d v="2024-12-02T02:00:00"/>
    <s v="SELL"/>
    <m/>
    <n v="1.0572699999999999"/>
    <n v="1.0536300000000001"/>
    <s v="EMA"/>
    <n v="4.0000000000000003E-5"/>
    <n v="-3.6999999999999999E-4"/>
    <x v="3"/>
  </r>
  <r>
    <d v="2024-12-02T16:00:00"/>
    <d v="2024-12-04T17:00:00"/>
    <s v="BUY"/>
    <n v="1.04738"/>
    <m/>
    <n v="1.0529500000000001"/>
    <s v="EMA"/>
    <n v="6.0000000000000002E-5"/>
    <n v="-3.1E-4"/>
    <x v="0"/>
  </r>
  <r>
    <d v="2024-12-05T15:00:00"/>
    <d v="2024-12-09T05:00:00"/>
    <s v="SELL"/>
    <m/>
    <n v="1.0567"/>
    <n v="1.0537399999999999"/>
    <s v="EMA"/>
    <n v="3.0000000000000001E-5"/>
    <n v="-2.7999999999999998E-4"/>
    <x v="1"/>
  </r>
  <r>
    <d v="2024-12-10T17:00:00"/>
    <d v="2024-12-16T03:00:00"/>
    <s v="BUY"/>
    <n v="1.0503899999999999"/>
    <m/>
    <n v="1.0519000000000001"/>
    <s v="EMA"/>
    <n v="2.0000000000000002E-5"/>
    <n v="-2.5999999999999998E-4"/>
    <x v="2"/>
  </r>
  <r>
    <d v="2024-12-18T21:00:00"/>
    <d v="2024-12-27T13:00:00"/>
    <s v="BUY"/>
    <n v="1.0377700000000001"/>
    <m/>
    <n v="1.0438799999999999"/>
    <s v="EMA"/>
    <n v="6.0000000000000002E-5"/>
    <n v="-2.0000000000000001E-4"/>
    <x v="3"/>
  </r>
  <r>
    <d v="2024-12-31T17:00:00"/>
    <d v="2025-01-06T13:00:00"/>
    <s v="BUY"/>
    <n v="1.03548"/>
    <m/>
    <n v="1.0421800000000001"/>
    <s v="EMA"/>
    <n v="6.9999999999999994E-5"/>
    <n v="-1.2999999999999999E-4"/>
    <x v="2"/>
  </r>
  <r>
    <d v="2025-01-06T13:00:00"/>
    <d v="2025-01-07T17:00:00"/>
    <s v="SELL"/>
    <m/>
    <n v="1.0421800000000001"/>
    <n v="1.03729"/>
    <s v="EMA"/>
    <n v="5.0000000000000002E-5"/>
    <n v="-8.0000000000000007E-5"/>
    <x v="0"/>
  </r>
  <r>
    <d v="2025-01-08T10:00:00"/>
    <d v="2025-01-14T23:00:00"/>
    <s v="BUY"/>
    <n v="1.0318799999999999"/>
    <m/>
    <n v="1.0307599999999999"/>
    <s v="EMA"/>
    <n v="-1.0000000000000001E-5"/>
    <n v="-9.0000000000000006E-5"/>
    <x v="3"/>
  </r>
  <r>
    <d v="2025-01-14T23:00:00"/>
    <d v="2025-01-15T02:00:00"/>
    <s v="SELL"/>
    <m/>
    <n v="1.0307599999999999"/>
    <n v="1.0301400000000001"/>
    <s v="EMA"/>
    <n v="1.0000000000000001E-5"/>
    <n v="-8.0000000000000007E-5"/>
    <x v="2"/>
  </r>
  <r>
    <d v="2025-01-15T15:00:00"/>
    <d v="2025-01-15T18:00:00"/>
    <s v="SELL"/>
    <m/>
    <n v="1.0344599999999999"/>
    <n v="1.0281199999999999"/>
    <s v="EMA"/>
    <n v="6.0000000000000002E-5"/>
    <n v="-2.0000000000000002E-5"/>
    <x v="3"/>
  </r>
  <r>
    <d v="2025-01-20T15:00:00"/>
    <d v="2025-01-29T11:00:00"/>
    <s v="SELL"/>
    <m/>
    <n v="1.0398099999999999"/>
    <n v="1.0403899999999999"/>
    <s v="EMA"/>
    <n v="-1.0000000000000001E-5"/>
    <n v="-3.0000000000000001E-5"/>
    <x v="0"/>
  </r>
  <r>
    <d v="2025-01-29T15:00:00"/>
    <d v="2025-01-29T17:00:00"/>
    <s v="BUY"/>
    <n v="1.03877"/>
    <m/>
    <n v="1.0419499999999999"/>
    <s v="EMA"/>
    <n v="3.0000000000000001E-5"/>
    <n v="0"/>
    <x v="3"/>
  </r>
  <r>
    <d v="2025-02-03T00:00:00"/>
    <d v="2025-02-04T17:00:00"/>
    <s v="BUY"/>
    <n v="1.02502"/>
    <m/>
    <n v="1.03803"/>
    <s v="EMA"/>
    <n v="1.2999999999999999E-4"/>
    <n v="1.2999999999999999E-4"/>
    <x v="0"/>
  </r>
  <r>
    <d v="2025-02-05T12:00:00"/>
    <d v="2025-02-06T10:00:00"/>
    <s v="SELL"/>
    <m/>
    <n v="1.0425199999999999"/>
    <n v="1.0365"/>
    <s v="EMA"/>
    <n v="6.0000000000000002E-5"/>
    <n v="1.9000000000000001E-4"/>
    <x v="3"/>
  </r>
  <r>
    <d v="2025-02-10T00:00:00"/>
    <d v="2025-02-11T21:00:00"/>
    <s v="BUY"/>
    <n v="1.0289600000000001"/>
    <m/>
    <n v="1.0358099999999999"/>
    <s v="EMA"/>
    <n v="6.9999999999999994E-5"/>
    <n v="2.5999999999999998E-4"/>
    <x v="0"/>
  </r>
  <r>
    <d v="2025-02-11T21:00:00"/>
    <d v="2025-02-12T15:00:00"/>
    <s v="SELL"/>
    <m/>
    <n v="1.0358099999999999"/>
    <n v="1.0333399999999999"/>
    <s v="EMA"/>
    <n v="2.0000000000000002E-5"/>
    <n v="2.7999999999999998E-4"/>
    <x v="2"/>
  </r>
  <r>
    <d v="2025-02-12T19:00:00"/>
    <d v="2025-02-19T12:00:00"/>
    <s v="SELL"/>
    <m/>
    <n v="1.0426299999999999"/>
    <n v="1.0423899999999999"/>
    <s v="EMA"/>
    <n v="0"/>
    <n v="2.7999999999999998E-4"/>
    <x v="3"/>
  </r>
  <r>
    <d v="2025-02-19T12:00:00"/>
    <d v="2025-02-19T14:00:00"/>
    <s v="BUY"/>
    <n v="1.0423899999999999"/>
    <m/>
    <n v="1.0428200000000001"/>
    <s v="EMA"/>
    <n v="0"/>
    <n v="2.7999999999999998E-4"/>
    <x v="3"/>
  </r>
  <r>
    <d v="2025-02-19T18:00:00"/>
    <d v="2025-02-19T21:00:00"/>
    <s v="BUY"/>
    <n v="1.04047"/>
    <m/>
    <n v="1.0425899999999999"/>
    <s v="EMA"/>
    <n v="2.0000000000000002E-5"/>
    <n v="2.9999999999999997E-4"/>
    <x v="3"/>
  </r>
  <r>
    <d v="2025-02-20T17:00:00"/>
    <d v="2025-02-27T05:00:00"/>
    <s v="SELL"/>
    <m/>
    <n v="1.04741"/>
    <n v="1.04657"/>
    <s v="EMA"/>
    <n v="1.0000000000000001E-5"/>
    <n v="3.1E-4"/>
    <x v="1"/>
  </r>
  <r>
    <d v="2025-02-27T15:00:00"/>
    <d v="2025-03-03T13:00:00"/>
    <s v="BUY"/>
    <n v="1.0423500000000001"/>
    <m/>
    <n v="1.0452600000000001"/>
    <s v="EMA"/>
    <n v="3.0000000000000001E-5"/>
    <n v="3.4000000000000002E-4"/>
    <x v="1"/>
  </r>
  <r>
    <d v="2025-03-03T14:00:00"/>
    <d v="2025-03-20T11:00:00"/>
    <s v="SELL"/>
    <m/>
    <n v="1.04705"/>
    <n v="1.0852299999999999"/>
    <s v="EMA"/>
    <n v="-3.8000000000000002E-4"/>
    <n v="-4.0000000000000003E-5"/>
    <x v="0"/>
  </r>
  <r>
    <d v="2025-03-20T11:00:00"/>
    <d v="2025-03-28T16:00:00"/>
    <s v="BUY"/>
    <n v="1.0852299999999999"/>
    <m/>
    <n v="1.0823100000000001"/>
    <s v="EMA"/>
    <n v="-3.0000000000000001E-5"/>
    <n v="-6.9999999999999994E-5"/>
    <x v="1"/>
  </r>
  <r>
    <d v="2025-04-02T17:00:00"/>
    <d v="2025-04-11T11:00:00"/>
    <s v="SELL"/>
    <m/>
    <n v="1.08586"/>
    <n v="1.1427400000000001"/>
    <s v="SL"/>
    <n v="-5.6999999999999998E-4"/>
    <n v="-6.4000000000000005E-4"/>
    <x v="3"/>
  </r>
  <r>
    <d v="2025-04-11T11:00:00"/>
    <d v="2025-04-23T01:00:00"/>
    <s v="SELL"/>
    <m/>
    <n v="1.1427400000000001"/>
    <n v="1.13374"/>
    <s v="EMA"/>
    <n v="9.0000000000000006E-5"/>
    <n v="-5.5000000000000003E-4"/>
    <x v="4"/>
  </r>
  <r>
    <d v="2025-04-23T01:00:00"/>
    <d v="2025-04-23T03:00:00"/>
    <s v="BUY"/>
    <n v="1.13374"/>
    <m/>
    <n v="1.1396999999999999"/>
    <s v="EMA"/>
    <n v="6.0000000000000002E-5"/>
    <n v="-4.8999999999999998E-4"/>
    <x v="3"/>
  </r>
  <r>
    <d v="2025-05-01T04:00:00"/>
    <d v="2025-05-02T12:00:00"/>
    <s v="BUY"/>
    <n v="1.1308499999999999"/>
    <m/>
    <n v="1.13503"/>
    <s v="EMA"/>
    <n v="4.0000000000000003E-5"/>
    <n v="-4.4999999999999999E-4"/>
    <x v="1"/>
  </r>
  <r>
    <d v="2025-05-08T19:00:00"/>
    <d v="2025-05-14T12:00:00"/>
    <s v="BUY"/>
    <n v="1.1226100000000001"/>
    <m/>
    <n v="1.12523"/>
    <s v="EMA"/>
    <n v="3.0000000000000001E-5"/>
    <n v="-4.2000000000000002E-4"/>
    <x v="1"/>
  </r>
  <r>
    <d v="2025-05-14T12:00:00"/>
    <d v="2025-05-14T13:00:00"/>
    <s v="SELL"/>
    <m/>
    <n v="1.12523"/>
    <n v="1.1231100000000001"/>
    <s v="EMA"/>
    <n v="2.0000000000000002E-5"/>
    <n v="-4.0000000000000002E-4"/>
    <x v="3"/>
  </r>
  <r>
    <d v="2025-05-16T18:00:00"/>
    <d v="2025-05-19T10:00:00"/>
    <s v="BUY"/>
    <n v="1.1140300000000001"/>
    <m/>
    <n v="1.1238300000000001"/>
    <s v="EMA"/>
    <n v="1E-4"/>
    <n v="-2.9999999999999997E-4"/>
    <x v="4"/>
  </r>
  <r>
    <d v="2025-05-19T11:00:00"/>
    <d v="2025-05-28T05:00:00"/>
    <s v="SELL"/>
    <m/>
    <n v="1.12575"/>
    <n v="1.1305499999999999"/>
    <s v="EMA"/>
    <n v="-5.0000000000000002E-5"/>
    <n v="-3.5E-4"/>
    <x v="0"/>
  </r>
  <r>
    <d v="2025-05-28T05:00:00"/>
    <d v="2025-05-28T08:00:00"/>
    <s v="BUY"/>
    <n v="1.1305499999999999"/>
    <m/>
    <n v="1.1314900000000001"/>
    <s v="EMA"/>
    <n v="1.0000000000000001E-5"/>
    <n v="-3.4000000000000002E-4"/>
    <x v="3"/>
  </r>
  <r>
    <d v="2025-05-29T02:00:00"/>
    <d v="2025-05-29T15:00:00"/>
    <s v="BUY"/>
    <n v="1.1229800000000001"/>
    <m/>
    <n v="1.1349499999999999"/>
    <s v="EMA"/>
    <n v="1.2E-4"/>
    <n v="-2.2000000000000001E-4"/>
    <x v="1"/>
  </r>
  <r>
    <d v="2025-05-29T18:00:00"/>
    <d v="2025-06-10T10:00:00"/>
    <s v="SELL"/>
    <m/>
    <n v="1.13697"/>
    <n v="1.13923"/>
    <s v="EMA"/>
    <n v="-2.0000000000000002E-5"/>
    <n v="-2.4000000000000001E-4"/>
    <x v="1"/>
  </r>
  <r>
    <d v="2025-06-11T17:00:00"/>
    <d v="2025-06-17T20:00:00"/>
    <s v="SELL"/>
    <m/>
    <n v="1.14818"/>
    <n v="1.14866"/>
    <s v="EMA"/>
    <n v="0"/>
    <n v="-2.4000000000000001E-4"/>
    <x v="3"/>
  </r>
  <r>
    <d v="2025-06-17T20:00:00"/>
    <d v="2025-06-18T04:00:00"/>
    <s v="BUY"/>
    <n v="1.14866"/>
    <m/>
    <n v="1.1496999999999999"/>
    <s v="EMA"/>
    <n v="1.0000000000000001E-5"/>
    <n v="-2.3000000000000001E-4"/>
    <x v="2"/>
  </r>
  <r>
    <d v="2025-06-23T22:00:00"/>
    <d v="2025-07-07T11:00:00"/>
    <s v="SELL"/>
    <m/>
    <n v="1.1578599999999999"/>
    <n v="1.1724399999999999"/>
    <s v="EMA"/>
    <n v="-1.4999999999999999E-4"/>
    <n v="-3.8000000000000002E-4"/>
    <x v="0"/>
  </r>
  <r>
    <d v="2025-07-07T11:00:00"/>
    <d v="2025-07-07T12:00:00"/>
    <s v="BUY"/>
    <n v="1.1724399999999999"/>
    <m/>
    <n v="1.1733899999999999"/>
    <s v="EMA"/>
    <n v="1.0000000000000001E-5"/>
    <n v="-3.6999999999999999E-4"/>
    <x v="0"/>
  </r>
  <r>
    <d v="2025-07-07T13:00:00"/>
    <d v="2025-07-07T14:00:00"/>
    <s v="BUY"/>
    <n v="1.17276"/>
    <m/>
    <n v="1.17296"/>
    <s v="EMA"/>
    <n v="0"/>
    <n v="-3.6999999999999999E-4"/>
    <x v="0"/>
  </r>
  <r>
    <d v="2025-07-07T15:00:00"/>
    <d v="2025-07-07T16:00:00"/>
    <s v="BUY"/>
    <n v="1.1722600000000001"/>
    <m/>
    <n v="1.1735199999999999"/>
    <s v="EMA"/>
    <n v="1.0000000000000001E-5"/>
    <n v="-3.6000000000000002E-4"/>
    <x v="0"/>
  </r>
  <r>
    <d v="2025-07-07T19:00:00"/>
    <d v="2025-07-08T01:00:00"/>
    <s v="BUY"/>
    <n v="1.16943"/>
    <m/>
    <n v="1.1735199999999999"/>
    <s v="EMA"/>
    <n v="4.0000000000000003E-5"/>
    <n v="-3.2000000000000003E-4"/>
    <x v="0"/>
  </r>
  <r>
    <d v="2025-07-10T17:00:00"/>
    <d v="2025-07-18T16:00:00"/>
    <s v="BUY"/>
    <n v="1.1679900000000001"/>
    <m/>
    <n v="1.16665"/>
    <s v="EMA"/>
    <n v="-1.0000000000000001E-5"/>
    <n v="-3.3E-4"/>
    <x v="1"/>
  </r>
  <r>
    <d v="2025-07-18T16:00:00"/>
    <d v="2025-07-18T17:00:00"/>
    <s v="SELL"/>
    <m/>
    <n v="1.16665"/>
    <n v="1.16479"/>
    <s v="EMA"/>
    <n v="2.0000000000000002E-5"/>
    <n v="-3.1E-4"/>
    <x v="4"/>
  </r>
  <r>
    <d v="2025-07-21T14:00:00"/>
    <d v="2025-07-28T10:00:00"/>
    <s v="SELL"/>
    <m/>
    <n v="1.16676"/>
    <n v="1.1674899999999999"/>
    <s v="EMA"/>
    <n v="-1.0000000000000001E-5"/>
    <n v="-3.2000000000000003E-4"/>
    <x v="0"/>
  </r>
  <r>
    <d v="2025-07-28T10:00:00"/>
    <d v="2025-08-01T22:00:00"/>
    <s v="BUY"/>
    <n v="1.1674899999999999"/>
    <m/>
    <n v="1.1569"/>
    <s v="EMA"/>
    <n v="-1.1E-4"/>
    <n v="-4.2999999999999999E-4"/>
    <x v="0"/>
  </r>
  <r>
    <d v="2025-08-01T22:00:00"/>
    <d v="2025-08-04T03:00:00"/>
    <s v="SELL"/>
    <m/>
    <n v="1.1569"/>
    <n v="1.1557999999999999"/>
    <s v="EMA"/>
    <n v="1.0000000000000001E-5"/>
    <n v="-4.2000000000000002E-4"/>
    <x v="4"/>
  </r>
  <r>
    <d v="2025-08-06T15:00:00"/>
    <d v="2025-08-11T17:00:00"/>
    <s v="SELL"/>
    <m/>
    <n v="1.1623699999999999"/>
    <n v="1.1595899999999999"/>
    <s v="EMA"/>
    <n v="3.0000000000000001E-5"/>
    <n v="-3.8999999999999999E-4"/>
    <x v="3"/>
  </r>
  <r>
    <d v="2025-08-11T17:00:00"/>
    <d v="2025-08-11T21:00:00"/>
    <s v="BUY"/>
    <n v="1.1595899999999999"/>
    <m/>
    <n v="1.16124"/>
    <s v="EMA"/>
    <n v="2.0000000000000002E-5"/>
    <n v="-3.6999999999999999E-4"/>
    <x v="0"/>
  </r>
  <r>
    <d v="2025-08-12T19:00:00"/>
    <d v="2025-08-14T18:00:00"/>
    <s v="SELL"/>
    <m/>
    <n v="1.1679999999999999"/>
    <n v="1.16431"/>
    <s v="EMA"/>
    <n v="4.0000000000000003E-5"/>
    <n v="-3.3E-4"/>
    <x v="2"/>
  </r>
  <r>
    <d v="2025-08-15T16:00:00"/>
    <d v="2025-08-18T19:00:00"/>
    <s v="SELL"/>
    <m/>
    <n v="1.17025"/>
    <n v="1.1657999999999999"/>
    <s v="EMA"/>
    <n v="4.0000000000000003E-5"/>
    <n v="-2.9E-4"/>
    <x v="4"/>
  </r>
  <r>
    <d v="2025-08-18T19:00:00"/>
    <d v="2025-08-18T20:00:00"/>
    <s v="BUY"/>
    <n v="1.1657999999999999"/>
    <m/>
    <n v="1.16629"/>
    <s v="EMA"/>
    <n v="0"/>
    <n v="-2.9E-4"/>
    <x v="0"/>
  </r>
  <r>
    <d v="2025-08-20T04:00:00"/>
    <d v="2025-08-20T15:00:00"/>
    <s v="BUY"/>
    <n v="1.16276"/>
    <m/>
    <n v="1.1671400000000001"/>
    <s v="EMA"/>
    <n v="4.0000000000000003E-5"/>
    <n v="-2.5000000000000001E-4"/>
    <x v="3"/>
  </r>
  <r>
    <d v="2025-08-22T07:00:00"/>
    <d v="2025-08-22T17:00:00"/>
    <s v="BUY"/>
    <n v="1.15845"/>
    <m/>
    <n v="1.17184"/>
    <s v="EMA"/>
    <n v="1.2999999999999999E-4"/>
    <n v="-1.2E-4"/>
    <x v="4"/>
  </r>
  <r>
    <d v="2025-08-22T17:00:00"/>
    <d v="2025-08-25T19:00:00"/>
    <s v="SELL"/>
    <m/>
    <n v="1.17184"/>
    <n v="1.1654899999999999"/>
    <s v="EMA"/>
    <n v="6.0000000000000002E-5"/>
    <n v="-6.0000000000000002E-5"/>
    <x v="4"/>
  </r>
  <r>
    <d v="2025-08-25T22:00:00"/>
    <d v="2025-08-26T14:00:00"/>
    <s v="BUY"/>
    <n v="1.1609799999999999"/>
    <m/>
    <n v="1.1654"/>
    <s v="EMA"/>
    <n v="4.0000000000000003E-5"/>
    <n v="-2.0000000000000002E-5"/>
    <x v="0"/>
  </r>
  <r>
    <d v="2025-08-27T11:00:00"/>
    <d v="2025-08-28T02:00:00"/>
    <s v="BUY"/>
    <n v="1.15889"/>
    <m/>
    <n v="1.16476"/>
    <s v="EMA"/>
    <n v="6.0000000000000002E-5"/>
    <n v="4.0000000000000003E-5"/>
    <x v="3"/>
  </r>
  <r>
    <d v="2025-08-28T15:00:00"/>
    <d v="2025-09-02T10:00:00"/>
    <s v="SELL"/>
    <m/>
    <n v="1.16839"/>
    <n v="1.16459"/>
    <s v="EMA"/>
    <n v="4.0000000000000003E-5"/>
    <n v="8.0000000000000007E-5"/>
    <x v="1"/>
  </r>
  <r>
    <d v="2025-09-02T10:00:00"/>
    <d v="2025-09-03T17:00:00"/>
    <s v="BUY"/>
    <n v="1.16459"/>
    <m/>
    <n v="1.1663699999999999"/>
    <s v="EMA"/>
    <n v="2.0000000000000002E-5"/>
    <n v="1E-4"/>
    <x v="2"/>
  </r>
  <r>
    <d v="2025-09-05T15:00:00"/>
    <d v="2025-09-10T23:00:00"/>
    <s v="SELL"/>
    <m/>
    <n v="1.17344"/>
    <n v="1.1695199999999999"/>
    <s v="EMA"/>
    <n v="4.0000000000000003E-5"/>
    <n v="1.3999999999999999E-4"/>
    <x v="4"/>
  </r>
  <r>
    <d v="2025-09-15T15:00:00"/>
    <d v="2025-09-18T16:00:00"/>
    <s v="SELL"/>
    <m/>
    <n v="1.1769700000000001"/>
    <n v="1.17672"/>
    <s v="EMA"/>
    <n v="0"/>
    <n v="1.3999999999999999E-4"/>
    <x v="0"/>
  </r>
  <r>
    <d v="2025-09-19T14:00:00"/>
    <d v="2025-09-22T12:00:00"/>
    <s v="BUY"/>
    <n v="1.1736899999999999"/>
    <m/>
    <n v="1.17761"/>
    <s v="EMA"/>
    <n v="4.0000000000000003E-5"/>
    <n v="1.8000000000000001E-4"/>
    <x v="4"/>
  </r>
  <r>
    <d v="2025-09-22T22:00:00"/>
    <d v="2025-09-24T11:00:00"/>
    <s v="SELL"/>
    <m/>
    <n v="1.18"/>
    <n v="1.1772100000000001"/>
    <s v="EMA"/>
    <n v="3.0000000000000001E-5"/>
    <n v="2.1000000000000001E-4"/>
    <x v="0"/>
  </r>
  <r>
    <d v="2025-09-24T12:00:00"/>
    <d v="2025-09-29T15:00:00"/>
    <s v="BUY"/>
    <n v="1.17679"/>
    <m/>
    <n v="1.175"/>
    <s v="EMA"/>
    <n v="-2.0000000000000002E-5"/>
    <n v="1.9000000000000001E-4"/>
    <x v="3"/>
  </r>
  <r>
    <d v="2025-09-29T15:00:00"/>
    <d v="2025-09-29T17:00:00"/>
    <s v="SELL"/>
    <m/>
    <n v="1.175"/>
    <n v="1.1730400000000001"/>
    <s v="EMA"/>
    <n v="2.0000000000000002E-5"/>
    <n v="2.1000000000000001E-4"/>
    <x v="0"/>
  </r>
  <r>
    <d v="2025-10-02T18:00:00"/>
    <d v="2025-10-03T11:00:00"/>
    <s v="BUY"/>
    <n v="1.16967"/>
    <m/>
    <n v="1.17404"/>
    <s v="EMA"/>
    <n v="4.0000000000000003E-5"/>
    <n v="2.5000000000000001E-4"/>
    <x v="1"/>
  </r>
  <r>
    <d v="2025-10-06T10:00:00"/>
    <d v="2025-10-15T09:00:00"/>
    <s v="BUY"/>
    <n v="1.16628"/>
    <m/>
    <n v="1.16343"/>
    <s v="EMA"/>
    <n v="-3.0000000000000001E-5"/>
    <n v="2.2000000000000001E-4"/>
    <x v="0"/>
  </r>
  <r>
    <d v="2025-10-15T09:00:00"/>
    <d v="2025-10-15T13:00:00"/>
    <s v="SELL"/>
    <m/>
    <n v="1.16343"/>
    <n v="1.1624399999999999"/>
    <s v="EMA"/>
    <n v="1.0000000000000001E-5"/>
    <n v="2.3000000000000001E-4"/>
    <x v="3"/>
  </r>
  <r>
    <d v="2025-10-16T03:00:00"/>
    <d v="2025-10-20T16:00:00"/>
    <s v="SELL"/>
    <m/>
    <n v="1.1663300000000001"/>
    <n v="1.16492"/>
    <s v="EMA"/>
    <n v="1.0000000000000001E-5"/>
    <n v="2.4000000000000001E-4"/>
    <x v="1"/>
  </r>
  <r>
    <d v="2025-10-21T14:00:00"/>
    <d v="2025-10-24T15:00:00"/>
    <s v="BUY"/>
    <n v="1.1613"/>
    <m/>
    <n v="1.16343"/>
    <s v="EMA"/>
    <n v="2.0000000000000002E-5"/>
    <n v="2.5999999999999998E-4"/>
    <x v="2"/>
  </r>
  <r>
    <d v="2025-10-30T14:00:00"/>
    <d v="2025-11-06T22:00:00"/>
    <s v="BUY"/>
    <n v="1.1554899999999999"/>
    <m/>
    <n v="1.1547700000000001"/>
    <s v="EMA"/>
    <n v="-1.0000000000000001E-5"/>
    <n v="2.5000000000000001E-4"/>
    <x v="1"/>
  </r>
  <r>
    <d v="2025-11-07T15:00:00"/>
    <d v="2025-11-10T01:00:00"/>
    <s v="SELL"/>
    <m/>
    <n v="1.1567700000000001"/>
    <n v="1.1543300000000001"/>
    <s v="EMA"/>
    <n v="2.0000000000000002E-5"/>
    <n v="2.7E-4"/>
    <x v="4"/>
  </r>
  <r>
    <d v="2025-11-11T15:00:00"/>
    <d v="2025-11-17T16:00:00"/>
    <s v="SELL"/>
    <m/>
    <n v="1.16011"/>
    <n v="1.15859"/>
    <s v="EMA"/>
    <n v="2.0000000000000002E-5"/>
    <n v="2.9E-4"/>
    <x v="2"/>
  </r>
  <r>
    <d v="2025-11-19T18:00:00"/>
    <d v="2025-11-25T15:00:00"/>
    <s v="BUY"/>
    <n v="1.1539699999999999"/>
    <m/>
    <n v="1.15584"/>
    <s v="EMA"/>
    <n v="2.0000000000000002E-5"/>
    <n v="3.1E-4"/>
    <x v="3"/>
  </r>
  <r>
    <d v="2025-11-25T16:00:00"/>
    <d v="2025-11-26T15:00:00"/>
    <s v="SELL"/>
    <m/>
    <n v="1.1566700000000001"/>
    <n v="1.1552500000000001"/>
    <s v="EMA"/>
    <n v="1.0000000000000001E-5"/>
    <n v="3.2000000000000003E-4"/>
    <x v="2"/>
  </r>
  <r>
    <d v="2025-11-28T12:00:00"/>
    <d v="2025-11-28T13:00:00"/>
    <s v="BUY"/>
    <n v="1.1559200000000001"/>
    <m/>
    <n v="1.1568099999999999"/>
    <s v="EMA"/>
    <n v="1.0000000000000001E-5"/>
    <n v="3.3E-4"/>
    <x v="4"/>
  </r>
  <r>
    <d v="2025-12-01T12:00:00"/>
    <d v="2025-12-08T17:00:00"/>
    <s v="SELL"/>
    <m/>
    <n v="1.1627700000000001"/>
    <n v="1.16252"/>
    <s v="EMA"/>
    <n v="0"/>
    <n v="3.3E-4"/>
    <x v="0"/>
  </r>
  <r>
    <d v="2025-12-10T21:00:00"/>
    <d v="2025-12-19T09:00:00"/>
    <s v="SELL"/>
    <m/>
    <n v="1.16784"/>
    <n v="1.1707799999999999"/>
    <s v="EMA"/>
    <n v="-3.0000000000000001E-5"/>
    <n v="2.9999999999999997E-4"/>
    <x v="3"/>
  </r>
  <r>
    <d v="2025-12-22T16:00:00"/>
    <d v="2025-12-30T20:00:00"/>
    <s v="SELL"/>
    <m/>
    <n v="1.1760299999999999"/>
    <n v="1.17502"/>
    <s v="EMA"/>
    <n v="1.0000000000000001E-5"/>
    <n v="3.1E-4"/>
    <x v="0"/>
  </r>
  <r>
    <d v="2025-12-31T10:00:00"/>
    <d v="2025-12-31T14:00:00"/>
    <s v="BUY"/>
    <n v="1.17231"/>
    <m/>
    <n v="1.17553"/>
    <s v="EMA"/>
    <n v="3.0000000000000001E-5"/>
    <n v="3.4000000000000002E-4"/>
    <x v="3"/>
  </r>
  <r>
    <d v="2026-01-05T05:00:00"/>
    <d v="2026-01-06T04:00:00"/>
    <s v="BUY"/>
    <n v="1.16754"/>
    <m/>
    <n v="1.1737500000000001"/>
    <s v="EMA"/>
    <n v="6.0000000000000002E-5"/>
    <n v="4.0000000000000002E-4"/>
    <x v="0"/>
  </r>
  <r>
    <d v="2026-01-08T18:00:00"/>
    <d v="2026-01-12T15:00:00"/>
    <s v="BUY"/>
    <n v="1.1654599999999999"/>
    <m/>
    <n v="1.1692899999999999"/>
    <s v="EMA"/>
    <n v="4.0000000000000003E-5"/>
    <n v="4.4000000000000002E-4"/>
    <x v="1"/>
  </r>
  <r>
    <d v="2026-01-15T15:00:00"/>
    <d v="2026-01-20T05:00:00"/>
    <s v="BUY"/>
    <n v="1.1601399999999999"/>
    <m/>
    <n v="1.16567"/>
    <s v="EMA"/>
    <n v="6.0000000000000002E-5"/>
    <n v="5.0000000000000001E-4"/>
    <x v="1"/>
  </r>
  <r>
    <d v="2026-01-20T05:00:00"/>
    <d v="2026-01-30T22:00:00"/>
    <s v="SELL"/>
    <m/>
    <n v="1.16567"/>
    <n v="1.1853199999999999"/>
    <s v="EMA"/>
    <n v="-2.0000000000000001E-4"/>
    <n v="2.9999999999999997E-4"/>
    <x v="2"/>
  </r>
  <r>
    <d v="2026-02-02T00:00:00"/>
    <d v="2026-02-02T02:00:00"/>
    <s v="BUY"/>
    <n v="1.1849000000000001"/>
    <m/>
    <n v="1.18668"/>
    <s v="EMA"/>
    <n v="2.0000000000000002E-5"/>
    <n v="3.2000000000000003E-4"/>
    <x v="0"/>
  </r>
  <r>
    <d v="2026-02-02T15:00:00"/>
    <d v="2026-02-09T01:00:00"/>
    <s v="BUY"/>
    <n v="1.1820900000000001"/>
    <m/>
    <n v="1.1826700000000001"/>
    <s v="EMA"/>
    <n v="1.0000000000000001E-5"/>
    <n v="3.3E-4"/>
    <x v="0"/>
  </r>
  <r>
    <d v="2026-02-09T08:00:00"/>
    <d v="2026-02-13T07:00:00"/>
    <s v="SELL"/>
    <m/>
    <n v="1.1852"/>
    <n v="1.1859599999999999"/>
    <s v="EMA"/>
    <n v="-1.0000000000000001E-5"/>
    <n v="3.2000000000000003E-4"/>
    <x v="0"/>
  </r>
  <r>
    <d v="2026-02-17T09:00:00"/>
    <d v="2026-02-23T01:00:00"/>
    <s v="BUY"/>
    <n v="1.18327"/>
    <m/>
    <n v="1.1833499999999999"/>
    <s v="EMA"/>
    <n v="0"/>
    <n v="3.2000000000000003E-4"/>
    <x v="2"/>
  </r>
  <r>
    <d v="2026-02-23T01:00:00"/>
    <d v="2026-02-23T06:00:00"/>
    <s v="SELL"/>
    <m/>
    <n v="1.1833499999999999"/>
    <n v="1.1820999999999999"/>
    <s v="EMA"/>
    <n v="1.0000000000000001E-5"/>
    <n v="3.3E-4"/>
    <x v="0"/>
  </r>
  <r>
    <d v="2026-02-26T03:00:00"/>
    <d v="2026-02-26T10:00:00"/>
    <s v="SELL"/>
    <m/>
    <n v="1.1827300000000001"/>
    <n v="1.1802699999999999"/>
    <s v="EMA"/>
    <n v="2.0000000000000002E-5"/>
    <n v="3.5E-4"/>
    <x v="1"/>
  </r>
  <r>
    <d v="2026-03-02T08:00:00"/>
    <d v="2026-03-10T09:00:00"/>
    <s v="BUY"/>
    <n v="1.17323"/>
    <m/>
    <n v="1.1660900000000001"/>
    <s v="EMA"/>
    <n v="-6.9999999999999994E-5"/>
    <n v="2.7999999999999998E-4"/>
    <x v="0"/>
  </r>
  <r>
    <d v="2026-03-12T01:00:00"/>
    <d v="2026-03-19T18:00:00"/>
    <s v="BUY"/>
    <n v="1.1542699999999999"/>
    <m/>
    <n v="1.1536200000000001"/>
    <s v="EMA"/>
    <n v="-1.0000000000000001E-5"/>
    <n v="2.7E-4"/>
    <x v="1"/>
  </r>
  <r>
    <d v="2026-03-19T19:00:00"/>
    <d v="2026-03-20T16:00:00"/>
    <s v="SELL"/>
    <m/>
    <n v="1.15604"/>
    <n v="1.1535"/>
    <s v="EMA"/>
    <n v="3.0000000000000001E-5"/>
    <n v="2.9999999999999997E-4"/>
    <x v="1"/>
  </r>
  <r>
    <d v="2026-03-23T12:00:00"/>
    <d v="2026-03-23T13:00:00"/>
    <s v="BUY"/>
    <n v="1.1485799999999999"/>
    <m/>
    <n v="1.1556599999999999"/>
    <s v="EMA"/>
    <n v="6.9999999999999994E-5"/>
    <n v="3.6999999999999999E-4"/>
    <x v="0"/>
  </r>
  <r>
    <d v="2026-03-30T01:00:00"/>
    <d v="2026-03-31T16:00:00"/>
    <s v="BUY"/>
    <n v="1.14886"/>
    <m/>
    <n v="1.15327"/>
    <s v="EMA"/>
    <n v="4.0000000000000003E-5"/>
    <n v="4.0999999999999999E-4"/>
    <x v="0"/>
  </r>
  <r>
    <d v="2026-03-31T16:00:00"/>
    <d v="2026-03-31T17:00:00"/>
    <s v="SELL"/>
    <m/>
    <n v="1.15327"/>
    <n v="1.15202"/>
    <s v="EMA"/>
    <n v="1.0000000000000001E-5"/>
    <n v="4.2000000000000002E-4"/>
    <x v="2"/>
  </r>
  <r>
    <d v="2026-03-31T19:00:00"/>
    <d v="2026-04-02T06:00:00"/>
    <s v="SELL"/>
    <m/>
    <n v="1.15405"/>
    <n v="1.1539900000000001"/>
    <s v="EMA"/>
    <n v="0"/>
    <n v="4.2000000000000002E-4"/>
    <x v="2"/>
  </r>
  <r>
    <d v="2026-04-06T10:00:00"/>
    <d v="2026-04-07T03:00:00"/>
    <s v="SELL"/>
    <m/>
    <n v="1.1564300000000001"/>
    <n v="1.1537599999999999"/>
    <s v="EMA"/>
    <n v="3.0000000000000001E-5"/>
    <n v="4.4999999999999999E-4"/>
    <x v="0"/>
  </r>
  <r>
    <m/>
    <m/>
    <m/>
    <m/>
    <m/>
    <m/>
    <m/>
    <m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d v="2024-09-09T10:00:00"/>
    <d v="2024-09-12T21:00:00"/>
    <s v="BUY"/>
    <n v="1.10592"/>
    <m/>
    <n v="1.10608"/>
    <s v="EMA"/>
    <n v="0"/>
    <n v="0"/>
    <n v="0"/>
    <x v="0"/>
    <x v="0"/>
  </r>
  <r>
    <d v="2024-09-12T21:00:00"/>
    <d v="2024-09-19T03:00:00"/>
    <s v="SELL"/>
    <m/>
    <n v="1.10608"/>
    <n v="1.1081700000000001"/>
    <s v="EMA"/>
    <n v="-2.0000000000000002E-5"/>
    <n v="-2"/>
    <n v="-2.0000000000000002E-5"/>
    <x v="1"/>
    <x v="0"/>
  </r>
  <r>
    <d v="2024-09-23T10:00:00"/>
    <d v="2024-09-23T14:00:00"/>
    <s v="BUY"/>
    <n v="1.11015"/>
    <m/>
    <n v="1.11198"/>
    <s v="EMA"/>
    <n v="2.0000000000000002E-5"/>
    <n v="2"/>
    <n v="0"/>
    <x v="0"/>
    <x v="1"/>
  </r>
  <r>
    <d v="2024-09-24T21:00:00"/>
    <d v="2024-09-25T22:00:00"/>
    <s v="SELL"/>
    <m/>
    <n v="1.11663"/>
    <n v="1.11259"/>
    <s v="EMA"/>
    <n v="4.0000000000000003E-5"/>
    <n v="4"/>
    <n v="4.0000000000000003E-5"/>
    <x v="2"/>
    <x v="1"/>
  </r>
  <r>
    <d v="2024-09-25T22:00:00"/>
    <d v="2024-09-26T03:00:00"/>
    <s v="BUY"/>
    <n v="1.11259"/>
    <m/>
    <n v="1.11365"/>
    <s v="EMA"/>
    <n v="1.0000000000000001E-5"/>
    <n v="1"/>
    <n v="5.0000000000000002E-5"/>
    <x v="3"/>
    <x v="1"/>
  </r>
  <r>
    <d v="2024-10-01T11:00:00"/>
    <d v="2024-10-30T10:00:00"/>
    <s v="BUY"/>
    <n v="1.1102700000000001"/>
    <m/>
    <n v="1.08344"/>
    <s v="EMA"/>
    <n v="-2.7E-4"/>
    <n v="-27"/>
    <n v="-2.2000000000000001E-4"/>
    <x v="2"/>
    <x v="0"/>
  </r>
  <r>
    <d v="2024-10-31T14:00:00"/>
    <d v="2024-11-01T19:00:00"/>
    <s v="SELL"/>
    <m/>
    <n v="1.0879700000000001"/>
    <n v="1.08361"/>
    <s v="EMA"/>
    <n v="4.0000000000000003E-5"/>
    <n v="4"/>
    <n v="-1.8000000000000001E-4"/>
    <x v="1"/>
    <x v="1"/>
  </r>
  <r>
    <d v="2024-11-05T18:00:00"/>
    <d v="2024-11-06T02:00:00"/>
    <s v="SELL"/>
    <m/>
    <n v="1.09199"/>
    <n v="1.0836399999999999"/>
    <s v="EMA"/>
    <n v="8.0000000000000007E-5"/>
    <n v="8"/>
    <n v="-1E-4"/>
    <x v="2"/>
    <x v="1"/>
  </r>
  <r>
    <d v="2024-11-06T02:00:00"/>
    <d v="2024-11-27T12:00:00"/>
    <s v="BUY"/>
    <n v="1.0836399999999999"/>
    <m/>
    <n v="1.05277"/>
    <s v="EMA"/>
    <n v="-3.1E-4"/>
    <n v="-31"/>
    <n v="-4.0999999999999999E-4"/>
    <x v="3"/>
    <x v="0"/>
  </r>
  <r>
    <d v="2024-11-27T15:00:00"/>
    <d v="2024-12-02T02:00:00"/>
    <s v="SELL"/>
    <m/>
    <n v="1.0572699999999999"/>
    <n v="1.0536300000000001"/>
    <s v="EMA"/>
    <n v="4.0000000000000003E-5"/>
    <n v="4"/>
    <n v="-3.6999999999999999E-4"/>
    <x v="3"/>
    <x v="1"/>
  </r>
  <r>
    <d v="2024-12-02T16:00:00"/>
    <d v="2024-12-04T17:00:00"/>
    <s v="BUY"/>
    <n v="1.04738"/>
    <m/>
    <n v="1.0529500000000001"/>
    <s v="EMA"/>
    <n v="6.0000000000000002E-5"/>
    <n v="6"/>
    <n v="-3.1E-4"/>
    <x v="0"/>
    <x v="1"/>
  </r>
  <r>
    <d v="2024-12-05T15:00:00"/>
    <d v="2024-12-09T05:00:00"/>
    <s v="SELL"/>
    <m/>
    <n v="1.0567"/>
    <n v="1.0537399999999999"/>
    <s v="EMA"/>
    <n v="3.0000000000000001E-5"/>
    <n v="3"/>
    <n v="-2.7999999999999998E-4"/>
    <x v="1"/>
    <x v="1"/>
  </r>
  <r>
    <d v="2024-12-10T17:00:00"/>
    <d v="2024-12-16T03:00:00"/>
    <s v="BUY"/>
    <n v="1.0503899999999999"/>
    <m/>
    <n v="1.0519000000000001"/>
    <s v="EMA"/>
    <n v="2.0000000000000002E-5"/>
    <n v="2"/>
    <n v="-2.5999999999999998E-4"/>
    <x v="2"/>
    <x v="1"/>
  </r>
  <r>
    <d v="2024-12-18T21:00:00"/>
    <d v="2024-12-27T13:00:00"/>
    <s v="BUY"/>
    <n v="1.0377700000000001"/>
    <m/>
    <n v="1.0438799999999999"/>
    <s v="EMA"/>
    <n v="6.0000000000000002E-5"/>
    <n v="6"/>
    <n v="-2.0000000000000001E-4"/>
    <x v="3"/>
    <x v="1"/>
  </r>
  <r>
    <d v="2024-12-31T17:00:00"/>
    <d v="2025-01-06T13:00:00"/>
    <s v="BUY"/>
    <n v="1.03548"/>
    <m/>
    <n v="1.0421800000000001"/>
    <s v="EMA"/>
    <n v="6.9999999999999994E-5"/>
    <n v="6.9999999999999991"/>
    <n v="-1.2999999999999999E-4"/>
    <x v="2"/>
    <x v="1"/>
  </r>
  <r>
    <d v="2025-01-06T13:00:00"/>
    <d v="2025-01-07T17:00:00"/>
    <s v="SELL"/>
    <m/>
    <n v="1.0421800000000001"/>
    <n v="1.03729"/>
    <s v="EMA"/>
    <n v="5.0000000000000002E-5"/>
    <n v="5"/>
    <n v="-8.0000000000000007E-5"/>
    <x v="0"/>
    <x v="1"/>
  </r>
  <r>
    <d v="2025-01-08T10:00:00"/>
    <d v="2025-01-14T23:00:00"/>
    <s v="BUY"/>
    <n v="1.0318799999999999"/>
    <m/>
    <n v="1.0307599999999999"/>
    <s v="EMA"/>
    <n v="-1.0000000000000001E-5"/>
    <n v="-1"/>
    <n v="-9.0000000000000006E-5"/>
    <x v="3"/>
    <x v="0"/>
  </r>
  <r>
    <d v="2025-01-14T23:00:00"/>
    <d v="2025-01-15T02:00:00"/>
    <s v="SELL"/>
    <m/>
    <n v="1.0307599999999999"/>
    <n v="1.0301400000000001"/>
    <s v="EMA"/>
    <n v="1.0000000000000001E-5"/>
    <n v="1"/>
    <n v="-8.0000000000000007E-5"/>
    <x v="2"/>
    <x v="1"/>
  </r>
  <r>
    <d v="2025-01-15T15:00:00"/>
    <d v="2025-01-15T18:00:00"/>
    <s v="SELL"/>
    <m/>
    <n v="1.0344599999999999"/>
    <n v="1.0281199999999999"/>
    <s v="EMA"/>
    <n v="6.0000000000000002E-5"/>
    <n v="6"/>
    <n v="-2.0000000000000002E-5"/>
    <x v="3"/>
    <x v="1"/>
  </r>
  <r>
    <d v="2025-01-20T15:00:00"/>
    <d v="2025-01-29T11:00:00"/>
    <s v="SELL"/>
    <m/>
    <n v="1.0398099999999999"/>
    <n v="1.0403899999999999"/>
    <s v="EMA"/>
    <n v="-1.0000000000000001E-5"/>
    <n v="-1"/>
    <n v="-3.0000000000000001E-5"/>
    <x v="0"/>
    <x v="0"/>
  </r>
  <r>
    <d v="2025-01-29T15:00:00"/>
    <d v="2025-01-29T17:00:00"/>
    <s v="BUY"/>
    <n v="1.03877"/>
    <m/>
    <n v="1.0419499999999999"/>
    <s v="EMA"/>
    <n v="3.0000000000000001E-5"/>
    <n v="3"/>
    <n v="0"/>
    <x v="3"/>
    <x v="1"/>
  </r>
  <r>
    <d v="2025-02-03T00:00:00"/>
    <d v="2025-02-04T17:00:00"/>
    <s v="BUY"/>
    <n v="1.02502"/>
    <m/>
    <n v="1.03803"/>
    <s v="EMA"/>
    <n v="1.2999999999999999E-4"/>
    <n v="12.999999999999998"/>
    <n v="1.2999999999999999E-4"/>
    <x v="0"/>
    <x v="1"/>
  </r>
  <r>
    <d v="2025-02-05T12:00:00"/>
    <d v="2025-02-06T10:00:00"/>
    <s v="SELL"/>
    <m/>
    <n v="1.0425199999999999"/>
    <n v="1.0365"/>
    <s v="EMA"/>
    <n v="6.0000000000000002E-5"/>
    <n v="6"/>
    <n v="1.9000000000000001E-4"/>
    <x v="3"/>
    <x v="1"/>
  </r>
  <r>
    <d v="2025-02-10T00:00:00"/>
    <d v="2025-02-11T21:00:00"/>
    <s v="BUY"/>
    <n v="1.0289600000000001"/>
    <m/>
    <n v="1.0358099999999999"/>
    <s v="EMA"/>
    <n v="6.9999999999999994E-5"/>
    <n v="6.9999999999999991"/>
    <n v="2.5999999999999998E-4"/>
    <x v="0"/>
    <x v="1"/>
  </r>
  <r>
    <d v="2025-02-11T21:00:00"/>
    <d v="2025-02-12T15:00:00"/>
    <s v="SELL"/>
    <m/>
    <n v="1.0358099999999999"/>
    <n v="1.0333399999999999"/>
    <s v="EMA"/>
    <n v="2.0000000000000002E-5"/>
    <n v="2"/>
    <n v="2.7999999999999998E-4"/>
    <x v="2"/>
    <x v="1"/>
  </r>
  <r>
    <d v="2025-02-12T19:00:00"/>
    <d v="2025-02-19T12:00:00"/>
    <s v="SELL"/>
    <m/>
    <n v="1.0426299999999999"/>
    <n v="1.0423899999999999"/>
    <s v="EMA"/>
    <n v="0"/>
    <n v="0"/>
    <n v="2.7999999999999998E-4"/>
    <x v="3"/>
    <x v="0"/>
  </r>
  <r>
    <d v="2025-02-19T12:00:00"/>
    <d v="2025-02-19T14:00:00"/>
    <s v="BUY"/>
    <n v="1.0423899999999999"/>
    <m/>
    <n v="1.0428200000000001"/>
    <s v="EMA"/>
    <n v="0"/>
    <n v="0"/>
    <n v="2.7999999999999998E-4"/>
    <x v="3"/>
    <x v="0"/>
  </r>
  <r>
    <d v="2025-02-19T18:00:00"/>
    <d v="2025-02-19T21:00:00"/>
    <s v="BUY"/>
    <n v="1.04047"/>
    <m/>
    <n v="1.0425899999999999"/>
    <s v="EMA"/>
    <n v="2.0000000000000002E-5"/>
    <n v="2"/>
    <n v="2.9999999999999997E-4"/>
    <x v="3"/>
    <x v="1"/>
  </r>
  <r>
    <d v="2025-02-20T17:00:00"/>
    <d v="2025-02-27T05:00:00"/>
    <s v="SELL"/>
    <m/>
    <n v="1.04741"/>
    <n v="1.04657"/>
    <s v="EMA"/>
    <n v="1.0000000000000001E-5"/>
    <n v="1"/>
    <n v="3.1E-4"/>
    <x v="1"/>
    <x v="1"/>
  </r>
  <r>
    <d v="2025-02-27T15:00:00"/>
    <d v="2025-03-03T13:00:00"/>
    <s v="BUY"/>
    <n v="1.0423500000000001"/>
    <m/>
    <n v="1.0452600000000001"/>
    <s v="EMA"/>
    <n v="3.0000000000000001E-5"/>
    <n v="3"/>
    <n v="3.4000000000000002E-4"/>
    <x v="1"/>
    <x v="1"/>
  </r>
  <r>
    <d v="2025-03-03T14:00:00"/>
    <d v="2025-03-20T11:00:00"/>
    <s v="SELL"/>
    <m/>
    <n v="1.04705"/>
    <n v="1.0852299999999999"/>
    <s v="EMA"/>
    <n v="-3.8000000000000002E-4"/>
    <n v="-38"/>
    <n v="-4.0000000000000003E-5"/>
    <x v="0"/>
    <x v="0"/>
  </r>
  <r>
    <d v="2025-03-20T11:00:00"/>
    <d v="2025-03-28T16:00:00"/>
    <s v="BUY"/>
    <n v="1.0852299999999999"/>
    <m/>
    <n v="1.0823100000000001"/>
    <s v="EMA"/>
    <n v="-3.0000000000000001E-5"/>
    <n v="-3"/>
    <n v="-6.9999999999999994E-5"/>
    <x v="1"/>
    <x v="0"/>
  </r>
  <r>
    <d v="2025-04-02T17:00:00"/>
    <d v="2025-04-11T11:00:00"/>
    <s v="SELL"/>
    <m/>
    <n v="1.08586"/>
    <n v="1.1427400000000001"/>
    <s v="SL"/>
    <n v="-5.6999999999999998E-4"/>
    <n v="-57"/>
    <n v="-6.4000000000000005E-4"/>
    <x v="3"/>
    <x v="0"/>
  </r>
  <r>
    <d v="2025-04-11T11:00:00"/>
    <d v="2025-04-23T01:00:00"/>
    <s v="SELL"/>
    <m/>
    <n v="1.1427400000000001"/>
    <n v="1.13374"/>
    <s v="EMA"/>
    <n v="9.0000000000000006E-5"/>
    <n v="9"/>
    <n v="-5.5000000000000003E-4"/>
    <x v="4"/>
    <x v="1"/>
  </r>
  <r>
    <d v="2025-04-23T01:00:00"/>
    <d v="2025-04-23T03:00:00"/>
    <s v="BUY"/>
    <n v="1.13374"/>
    <m/>
    <n v="1.1396999999999999"/>
    <s v="EMA"/>
    <n v="6.0000000000000002E-5"/>
    <n v="6"/>
    <n v="-4.8999999999999998E-4"/>
    <x v="3"/>
    <x v="1"/>
  </r>
  <r>
    <d v="2025-05-01T04:00:00"/>
    <d v="2025-05-02T12:00:00"/>
    <s v="BUY"/>
    <n v="1.1308499999999999"/>
    <m/>
    <n v="1.13503"/>
    <s v="EMA"/>
    <n v="4.0000000000000003E-5"/>
    <n v="4"/>
    <n v="-4.4999999999999999E-4"/>
    <x v="1"/>
    <x v="1"/>
  </r>
  <r>
    <d v="2025-05-08T19:00:00"/>
    <d v="2025-05-14T12:00:00"/>
    <s v="BUY"/>
    <n v="1.1226100000000001"/>
    <m/>
    <n v="1.12523"/>
    <s v="EMA"/>
    <n v="3.0000000000000001E-5"/>
    <n v="3"/>
    <n v="-4.2000000000000002E-4"/>
    <x v="1"/>
    <x v="1"/>
  </r>
  <r>
    <d v="2025-05-14T12:00:00"/>
    <d v="2025-05-14T13:00:00"/>
    <s v="SELL"/>
    <m/>
    <n v="1.12523"/>
    <n v="1.1231100000000001"/>
    <s v="EMA"/>
    <n v="2.0000000000000002E-5"/>
    <n v="2"/>
    <n v="-4.0000000000000002E-4"/>
    <x v="3"/>
    <x v="1"/>
  </r>
  <r>
    <d v="2025-05-16T18:00:00"/>
    <d v="2025-05-19T10:00:00"/>
    <s v="BUY"/>
    <n v="1.1140300000000001"/>
    <m/>
    <n v="1.1238300000000001"/>
    <s v="EMA"/>
    <n v="1E-4"/>
    <n v="10"/>
    <n v="-2.9999999999999997E-4"/>
    <x v="4"/>
    <x v="1"/>
  </r>
  <r>
    <d v="2025-05-19T11:00:00"/>
    <d v="2025-05-28T05:00:00"/>
    <s v="SELL"/>
    <m/>
    <n v="1.12575"/>
    <n v="1.1305499999999999"/>
    <s v="EMA"/>
    <n v="-5.0000000000000002E-5"/>
    <n v="-5"/>
    <n v="-3.5E-4"/>
    <x v="0"/>
    <x v="0"/>
  </r>
  <r>
    <d v="2025-05-28T05:00:00"/>
    <d v="2025-05-28T08:00:00"/>
    <s v="BUY"/>
    <n v="1.1305499999999999"/>
    <m/>
    <n v="1.1314900000000001"/>
    <s v="EMA"/>
    <n v="1.0000000000000001E-5"/>
    <n v="1"/>
    <n v="-3.4000000000000002E-4"/>
    <x v="3"/>
    <x v="1"/>
  </r>
  <r>
    <d v="2025-05-29T02:00:00"/>
    <d v="2025-05-29T15:00:00"/>
    <s v="BUY"/>
    <n v="1.1229800000000001"/>
    <m/>
    <n v="1.1349499999999999"/>
    <s v="EMA"/>
    <n v="1.2E-4"/>
    <n v="12"/>
    <n v="-2.2000000000000001E-4"/>
    <x v="1"/>
    <x v="1"/>
  </r>
  <r>
    <d v="2025-05-29T18:00:00"/>
    <d v="2025-06-10T10:00:00"/>
    <s v="SELL"/>
    <m/>
    <n v="1.13697"/>
    <n v="1.13923"/>
    <s v="EMA"/>
    <n v="-2.0000000000000002E-5"/>
    <n v="-2"/>
    <n v="-2.4000000000000001E-4"/>
    <x v="1"/>
    <x v="0"/>
  </r>
  <r>
    <d v="2025-06-11T17:00:00"/>
    <d v="2025-06-17T20:00:00"/>
    <s v="SELL"/>
    <m/>
    <n v="1.14818"/>
    <n v="1.14866"/>
    <s v="EMA"/>
    <n v="0"/>
    <n v="0"/>
    <n v="-2.4000000000000001E-4"/>
    <x v="3"/>
    <x v="0"/>
  </r>
  <r>
    <d v="2025-06-17T20:00:00"/>
    <d v="2025-06-18T04:00:00"/>
    <s v="BUY"/>
    <n v="1.14866"/>
    <m/>
    <n v="1.1496999999999999"/>
    <s v="EMA"/>
    <n v="1.0000000000000001E-5"/>
    <n v="1"/>
    <n v="-2.3000000000000001E-4"/>
    <x v="2"/>
    <x v="1"/>
  </r>
  <r>
    <d v="2025-06-23T22:00:00"/>
    <d v="2025-07-07T11:00:00"/>
    <s v="SELL"/>
    <m/>
    <n v="1.1578599999999999"/>
    <n v="1.1724399999999999"/>
    <s v="EMA"/>
    <n v="-1.4999999999999999E-4"/>
    <n v="-14.999999999999998"/>
    <n v="-3.8000000000000002E-4"/>
    <x v="0"/>
    <x v="0"/>
  </r>
  <r>
    <d v="2025-07-07T11:00:00"/>
    <d v="2025-07-07T12:00:00"/>
    <s v="BUY"/>
    <n v="1.1724399999999999"/>
    <m/>
    <n v="1.1733899999999999"/>
    <s v="EMA"/>
    <n v="1.0000000000000001E-5"/>
    <n v="1"/>
    <n v="-3.6999999999999999E-4"/>
    <x v="0"/>
    <x v="1"/>
  </r>
  <r>
    <d v="2025-07-07T13:00:00"/>
    <d v="2025-07-07T14:00:00"/>
    <s v="BUY"/>
    <n v="1.17276"/>
    <m/>
    <n v="1.17296"/>
    <s v="EMA"/>
    <n v="0"/>
    <n v="0"/>
    <n v="-3.6999999999999999E-4"/>
    <x v="0"/>
    <x v="0"/>
  </r>
  <r>
    <d v="2025-07-07T15:00:00"/>
    <d v="2025-07-07T16:00:00"/>
    <s v="BUY"/>
    <n v="1.1722600000000001"/>
    <m/>
    <n v="1.1735199999999999"/>
    <s v="EMA"/>
    <n v="1.0000000000000001E-5"/>
    <n v="1"/>
    <n v="-3.6000000000000002E-4"/>
    <x v="0"/>
    <x v="1"/>
  </r>
  <r>
    <d v="2025-07-07T19:00:00"/>
    <d v="2025-07-08T01:00:00"/>
    <s v="BUY"/>
    <n v="1.16943"/>
    <m/>
    <n v="1.1735199999999999"/>
    <s v="EMA"/>
    <n v="4.0000000000000003E-5"/>
    <n v="4"/>
    <n v="-3.2000000000000003E-4"/>
    <x v="0"/>
    <x v="1"/>
  </r>
  <r>
    <d v="2025-07-10T17:00:00"/>
    <d v="2025-07-18T16:00:00"/>
    <s v="BUY"/>
    <n v="1.1679900000000001"/>
    <m/>
    <n v="1.16665"/>
    <s v="EMA"/>
    <n v="-1.0000000000000001E-5"/>
    <n v="-1"/>
    <n v="-3.3E-4"/>
    <x v="1"/>
    <x v="0"/>
  </r>
  <r>
    <d v="2025-07-18T16:00:00"/>
    <d v="2025-07-18T17:00:00"/>
    <s v="SELL"/>
    <m/>
    <n v="1.16665"/>
    <n v="1.16479"/>
    <s v="EMA"/>
    <n v="2.0000000000000002E-5"/>
    <n v="2"/>
    <n v="-3.1E-4"/>
    <x v="4"/>
    <x v="1"/>
  </r>
  <r>
    <d v="2025-07-21T14:00:00"/>
    <d v="2025-07-28T10:00:00"/>
    <s v="SELL"/>
    <m/>
    <n v="1.16676"/>
    <n v="1.1674899999999999"/>
    <s v="EMA"/>
    <n v="-1.0000000000000001E-5"/>
    <n v="-1"/>
    <n v="-3.2000000000000003E-4"/>
    <x v="0"/>
    <x v="0"/>
  </r>
  <r>
    <d v="2025-07-28T10:00:00"/>
    <d v="2025-08-01T22:00:00"/>
    <s v="BUY"/>
    <n v="1.1674899999999999"/>
    <m/>
    <n v="1.1569"/>
    <s v="EMA"/>
    <n v="-1.1E-4"/>
    <n v="-11"/>
    <n v="-4.2999999999999999E-4"/>
    <x v="0"/>
    <x v="0"/>
  </r>
  <r>
    <d v="2025-08-01T22:00:00"/>
    <d v="2025-08-04T03:00:00"/>
    <s v="SELL"/>
    <m/>
    <n v="1.1569"/>
    <n v="1.1557999999999999"/>
    <s v="EMA"/>
    <n v="1.0000000000000001E-5"/>
    <n v="1"/>
    <n v="-4.2000000000000002E-4"/>
    <x v="4"/>
    <x v="1"/>
  </r>
  <r>
    <d v="2025-08-06T15:00:00"/>
    <d v="2025-08-11T17:00:00"/>
    <s v="SELL"/>
    <m/>
    <n v="1.1623699999999999"/>
    <n v="1.1595899999999999"/>
    <s v="EMA"/>
    <n v="3.0000000000000001E-5"/>
    <n v="3"/>
    <n v="-3.8999999999999999E-4"/>
    <x v="3"/>
    <x v="1"/>
  </r>
  <r>
    <d v="2025-08-11T17:00:00"/>
    <d v="2025-08-11T21:00:00"/>
    <s v="BUY"/>
    <n v="1.1595899999999999"/>
    <m/>
    <n v="1.16124"/>
    <s v="EMA"/>
    <n v="2.0000000000000002E-5"/>
    <n v="2"/>
    <n v="-3.6999999999999999E-4"/>
    <x v="0"/>
    <x v="1"/>
  </r>
  <r>
    <d v="2025-08-12T19:00:00"/>
    <d v="2025-08-14T18:00:00"/>
    <s v="SELL"/>
    <m/>
    <n v="1.1679999999999999"/>
    <n v="1.16431"/>
    <s v="EMA"/>
    <n v="4.0000000000000003E-5"/>
    <n v="4"/>
    <n v="-3.3E-4"/>
    <x v="2"/>
    <x v="1"/>
  </r>
  <r>
    <d v="2025-08-15T16:00:00"/>
    <d v="2025-08-18T19:00:00"/>
    <s v="SELL"/>
    <m/>
    <n v="1.17025"/>
    <n v="1.1657999999999999"/>
    <s v="EMA"/>
    <n v="4.0000000000000003E-5"/>
    <n v="4"/>
    <n v="-2.9E-4"/>
    <x v="4"/>
    <x v="1"/>
  </r>
  <r>
    <d v="2025-08-18T19:00:00"/>
    <d v="2025-08-18T20:00:00"/>
    <s v="BUY"/>
    <n v="1.1657999999999999"/>
    <m/>
    <n v="1.16629"/>
    <s v="EMA"/>
    <n v="0"/>
    <n v="0"/>
    <n v="-2.9E-4"/>
    <x v="0"/>
    <x v="0"/>
  </r>
  <r>
    <d v="2025-08-20T04:00:00"/>
    <d v="2025-08-20T15:00:00"/>
    <s v="BUY"/>
    <n v="1.16276"/>
    <m/>
    <n v="1.1671400000000001"/>
    <s v="EMA"/>
    <n v="4.0000000000000003E-5"/>
    <n v="4"/>
    <n v="-2.5000000000000001E-4"/>
    <x v="3"/>
    <x v="1"/>
  </r>
  <r>
    <d v="2025-08-22T07:00:00"/>
    <d v="2025-08-22T17:00:00"/>
    <s v="BUY"/>
    <n v="1.15845"/>
    <m/>
    <n v="1.17184"/>
    <s v="EMA"/>
    <n v="1.2999999999999999E-4"/>
    <n v="12.999999999999998"/>
    <n v="-1.2E-4"/>
    <x v="4"/>
    <x v="1"/>
  </r>
  <r>
    <d v="2025-08-22T17:00:00"/>
    <d v="2025-08-25T19:00:00"/>
    <s v="SELL"/>
    <m/>
    <n v="1.17184"/>
    <n v="1.1654899999999999"/>
    <s v="EMA"/>
    <n v="6.0000000000000002E-5"/>
    <n v="6"/>
    <n v="-6.0000000000000002E-5"/>
    <x v="4"/>
    <x v="1"/>
  </r>
  <r>
    <d v="2025-08-25T22:00:00"/>
    <d v="2025-08-26T14:00:00"/>
    <s v="BUY"/>
    <n v="1.1609799999999999"/>
    <m/>
    <n v="1.1654"/>
    <s v="EMA"/>
    <n v="4.0000000000000003E-5"/>
    <n v="4"/>
    <n v="-2.0000000000000002E-5"/>
    <x v="0"/>
    <x v="1"/>
  </r>
  <r>
    <d v="2025-08-27T11:00:00"/>
    <d v="2025-08-28T02:00:00"/>
    <s v="BUY"/>
    <n v="1.15889"/>
    <m/>
    <n v="1.16476"/>
    <s v="EMA"/>
    <n v="6.0000000000000002E-5"/>
    <n v="6"/>
    <n v="4.0000000000000003E-5"/>
    <x v="3"/>
    <x v="1"/>
  </r>
  <r>
    <d v="2025-08-28T15:00:00"/>
    <d v="2025-09-02T10:00:00"/>
    <s v="SELL"/>
    <m/>
    <n v="1.16839"/>
    <n v="1.16459"/>
    <s v="EMA"/>
    <n v="4.0000000000000003E-5"/>
    <n v="4"/>
    <n v="8.0000000000000007E-5"/>
    <x v="1"/>
    <x v="1"/>
  </r>
  <r>
    <d v="2025-09-02T10:00:00"/>
    <d v="2025-09-03T17:00:00"/>
    <s v="BUY"/>
    <n v="1.16459"/>
    <m/>
    <n v="1.1663699999999999"/>
    <s v="EMA"/>
    <n v="2.0000000000000002E-5"/>
    <n v="2"/>
    <n v="1E-4"/>
    <x v="2"/>
    <x v="1"/>
  </r>
  <r>
    <d v="2025-09-05T15:00:00"/>
    <d v="2025-09-10T23:00:00"/>
    <s v="SELL"/>
    <m/>
    <n v="1.17344"/>
    <n v="1.1695199999999999"/>
    <s v="EMA"/>
    <n v="4.0000000000000003E-5"/>
    <n v="4"/>
    <n v="1.3999999999999999E-4"/>
    <x v="4"/>
    <x v="1"/>
  </r>
  <r>
    <d v="2025-09-15T15:00:00"/>
    <d v="2025-09-18T16:00:00"/>
    <s v="SELL"/>
    <m/>
    <n v="1.1769700000000001"/>
    <n v="1.17672"/>
    <s v="EMA"/>
    <n v="0"/>
    <n v="0"/>
    <n v="1.3999999999999999E-4"/>
    <x v="0"/>
    <x v="0"/>
  </r>
  <r>
    <d v="2025-09-19T14:00:00"/>
    <d v="2025-09-22T12:00:00"/>
    <s v="BUY"/>
    <n v="1.1736899999999999"/>
    <m/>
    <n v="1.17761"/>
    <s v="EMA"/>
    <n v="4.0000000000000003E-5"/>
    <n v="4"/>
    <n v="1.8000000000000001E-4"/>
    <x v="4"/>
    <x v="1"/>
  </r>
  <r>
    <d v="2025-09-22T22:00:00"/>
    <d v="2025-09-24T11:00:00"/>
    <s v="SELL"/>
    <m/>
    <n v="1.18"/>
    <n v="1.1772100000000001"/>
    <s v="EMA"/>
    <n v="3.0000000000000001E-5"/>
    <n v="3"/>
    <n v="2.1000000000000001E-4"/>
    <x v="0"/>
    <x v="1"/>
  </r>
  <r>
    <d v="2025-09-24T12:00:00"/>
    <d v="2025-09-29T15:00:00"/>
    <s v="BUY"/>
    <n v="1.17679"/>
    <m/>
    <n v="1.175"/>
    <s v="EMA"/>
    <n v="-2.0000000000000002E-5"/>
    <n v="-2"/>
    <n v="1.9000000000000001E-4"/>
    <x v="3"/>
    <x v="0"/>
  </r>
  <r>
    <d v="2025-09-29T15:00:00"/>
    <d v="2025-09-29T17:00:00"/>
    <s v="SELL"/>
    <m/>
    <n v="1.175"/>
    <n v="1.1730400000000001"/>
    <s v="EMA"/>
    <n v="2.0000000000000002E-5"/>
    <n v="2"/>
    <n v="2.1000000000000001E-4"/>
    <x v="0"/>
    <x v="1"/>
  </r>
  <r>
    <d v="2025-10-02T18:00:00"/>
    <d v="2025-10-03T11:00:00"/>
    <s v="BUY"/>
    <n v="1.16967"/>
    <m/>
    <n v="1.17404"/>
    <s v="EMA"/>
    <n v="4.0000000000000003E-5"/>
    <n v="4"/>
    <n v="2.5000000000000001E-4"/>
    <x v="1"/>
    <x v="1"/>
  </r>
  <r>
    <d v="2025-10-06T10:00:00"/>
    <d v="2025-10-15T09:00:00"/>
    <s v="BUY"/>
    <n v="1.16628"/>
    <m/>
    <n v="1.16343"/>
    <s v="EMA"/>
    <n v="-3.0000000000000001E-5"/>
    <n v="-3"/>
    <n v="2.2000000000000001E-4"/>
    <x v="0"/>
    <x v="0"/>
  </r>
  <r>
    <d v="2025-10-15T09:00:00"/>
    <d v="2025-10-15T13:00:00"/>
    <s v="SELL"/>
    <m/>
    <n v="1.16343"/>
    <n v="1.1624399999999999"/>
    <s v="EMA"/>
    <n v="1.0000000000000001E-5"/>
    <n v="1"/>
    <n v="2.3000000000000001E-4"/>
    <x v="3"/>
    <x v="1"/>
  </r>
  <r>
    <d v="2025-10-16T03:00:00"/>
    <d v="2025-10-20T16:00:00"/>
    <s v="SELL"/>
    <m/>
    <n v="1.1663300000000001"/>
    <n v="1.16492"/>
    <s v="EMA"/>
    <n v="1.0000000000000001E-5"/>
    <n v="1"/>
    <n v="2.4000000000000001E-4"/>
    <x v="1"/>
    <x v="1"/>
  </r>
  <r>
    <d v="2025-10-21T14:00:00"/>
    <d v="2025-10-24T15:00:00"/>
    <s v="BUY"/>
    <n v="1.1613"/>
    <m/>
    <n v="1.16343"/>
    <s v="EMA"/>
    <n v="2.0000000000000002E-5"/>
    <n v="2"/>
    <n v="2.5999999999999998E-4"/>
    <x v="2"/>
    <x v="1"/>
  </r>
  <r>
    <d v="2025-10-30T14:00:00"/>
    <d v="2025-11-06T22:00:00"/>
    <s v="BUY"/>
    <n v="1.1554899999999999"/>
    <m/>
    <n v="1.1547700000000001"/>
    <s v="EMA"/>
    <n v="-1.0000000000000001E-5"/>
    <n v="-1"/>
    <n v="2.5000000000000001E-4"/>
    <x v="1"/>
    <x v="0"/>
  </r>
  <r>
    <d v="2025-11-07T15:00:00"/>
    <d v="2025-11-10T01:00:00"/>
    <s v="SELL"/>
    <m/>
    <n v="1.1567700000000001"/>
    <n v="1.1543300000000001"/>
    <s v="EMA"/>
    <n v="2.0000000000000002E-5"/>
    <n v="2"/>
    <n v="2.7E-4"/>
    <x v="4"/>
    <x v="1"/>
  </r>
  <r>
    <d v="2025-11-11T15:00:00"/>
    <d v="2025-11-17T16:00:00"/>
    <s v="SELL"/>
    <m/>
    <n v="1.16011"/>
    <n v="1.15859"/>
    <s v="EMA"/>
    <n v="2.0000000000000002E-5"/>
    <n v="2"/>
    <n v="2.9E-4"/>
    <x v="2"/>
    <x v="1"/>
  </r>
  <r>
    <d v="2025-11-19T18:00:00"/>
    <d v="2025-11-25T15:00:00"/>
    <s v="BUY"/>
    <n v="1.1539699999999999"/>
    <m/>
    <n v="1.15584"/>
    <s v="EMA"/>
    <n v="2.0000000000000002E-5"/>
    <n v="2"/>
    <n v="3.1E-4"/>
    <x v="3"/>
    <x v="1"/>
  </r>
  <r>
    <d v="2025-11-25T16:00:00"/>
    <d v="2025-11-26T15:00:00"/>
    <s v="SELL"/>
    <m/>
    <n v="1.1566700000000001"/>
    <n v="1.1552500000000001"/>
    <s v="EMA"/>
    <n v="1.0000000000000001E-5"/>
    <n v="1"/>
    <n v="3.2000000000000003E-4"/>
    <x v="2"/>
    <x v="1"/>
  </r>
  <r>
    <d v="2025-11-28T12:00:00"/>
    <d v="2025-11-28T13:00:00"/>
    <s v="BUY"/>
    <n v="1.1559200000000001"/>
    <m/>
    <n v="1.1568099999999999"/>
    <s v="EMA"/>
    <n v="1.0000000000000001E-5"/>
    <n v="1"/>
    <n v="3.3E-4"/>
    <x v="4"/>
    <x v="1"/>
  </r>
  <r>
    <d v="2025-12-01T12:00:00"/>
    <d v="2025-12-08T17:00:00"/>
    <s v="SELL"/>
    <m/>
    <n v="1.1627700000000001"/>
    <n v="1.16252"/>
    <s v="EMA"/>
    <n v="0"/>
    <n v="0"/>
    <n v="3.3E-4"/>
    <x v="0"/>
    <x v="0"/>
  </r>
  <r>
    <d v="2025-12-10T21:00:00"/>
    <d v="2025-12-19T09:00:00"/>
    <s v="SELL"/>
    <m/>
    <n v="1.16784"/>
    <n v="1.1707799999999999"/>
    <s v="EMA"/>
    <n v="-3.0000000000000001E-5"/>
    <n v="-3"/>
    <n v="2.9999999999999997E-4"/>
    <x v="3"/>
    <x v="0"/>
  </r>
  <r>
    <d v="2025-12-22T16:00:00"/>
    <d v="2025-12-30T20:00:00"/>
    <s v="SELL"/>
    <m/>
    <n v="1.1760299999999999"/>
    <n v="1.17502"/>
    <s v="EMA"/>
    <n v="1.0000000000000001E-5"/>
    <n v="1"/>
    <n v="3.1E-4"/>
    <x v="0"/>
    <x v="1"/>
  </r>
  <r>
    <d v="2025-12-31T10:00:00"/>
    <d v="2025-12-31T14:00:00"/>
    <s v="BUY"/>
    <n v="1.17231"/>
    <m/>
    <n v="1.17553"/>
    <s v="EMA"/>
    <n v="3.0000000000000001E-5"/>
    <n v="3"/>
    <n v="3.4000000000000002E-4"/>
    <x v="3"/>
    <x v="1"/>
  </r>
  <r>
    <d v="2026-01-05T05:00:00"/>
    <d v="2026-01-06T04:00:00"/>
    <s v="BUY"/>
    <n v="1.16754"/>
    <m/>
    <n v="1.1737500000000001"/>
    <s v="EMA"/>
    <n v="6.0000000000000002E-5"/>
    <n v="6"/>
    <n v="4.0000000000000002E-4"/>
    <x v="0"/>
    <x v="1"/>
  </r>
  <r>
    <d v="2026-01-08T18:00:00"/>
    <d v="2026-01-12T15:00:00"/>
    <s v="BUY"/>
    <n v="1.1654599999999999"/>
    <m/>
    <n v="1.1692899999999999"/>
    <s v="EMA"/>
    <n v="4.0000000000000003E-5"/>
    <n v="4"/>
    <n v="4.4000000000000002E-4"/>
    <x v="1"/>
    <x v="1"/>
  </r>
  <r>
    <d v="2026-01-15T15:00:00"/>
    <d v="2026-01-20T05:00:00"/>
    <s v="BUY"/>
    <n v="1.1601399999999999"/>
    <m/>
    <n v="1.16567"/>
    <s v="EMA"/>
    <n v="6.0000000000000002E-5"/>
    <n v="6"/>
    <n v="5.0000000000000001E-4"/>
    <x v="1"/>
    <x v="1"/>
  </r>
  <r>
    <d v="2026-01-20T05:00:00"/>
    <d v="2026-01-30T22:00:00"/>
    <s v="SELL"/>
    <m/>
    <n v="1.16567"/>
    <n v="1.1853199999999999"/>
    <s v="EMA"/>
    <n v="-2.0000000000000001E-4"/>
    <n v="-20"/>
    <n v="2.9999999999999997E-4"/>
    <x v="2"/>
    <x v="0"/>
  </r>
  <r>
    <d v="2026-02-02T00:00:00"/>
    <d v="2026-02-02T02:00:00"/>
    <s v="BUY"/>
    <n v="1.1849000000000001"/>
    <m/>
    <n v="1.18668"/>
    <s v="EMA"/>
    <n v="2.0000000000000002E-5"/>
    <n v="2"/>
    <n v="3.2000000000000003E-4"/>
    <x v="0"/>
    <x v="1"/>
  </r>
  <r>
    <d v="2026-02-02T15:00:00"/>
    <d v="2026-02-09T01:00:00"/>
    <s v="BUY"/>
    <n v="1.1820900000000001"/>
    <m/>
    <n v="1.1826700000000001"/>
    <s v="EMA"/>
    <n v="1.0000000000000001E-5"/>
    <n v="1"/>
    <n v="3.3E-4"/>
    <x v="0"/>
    <x v="1"/>
  </r>
  <r>
    <d v="2026-02-09T08:00:00"/>
    <d v="2026-02-13T07:00:00"/>
    <s v="SELL"/>
    <m/>
    <n v="1.1852"/>
    <n v="1.1859599999999999"/>
    <s v="EMA"/>
    <n v="-1.0000000000000001E-5"/>
    <n v="-1"/>
    <n v="3.2000000000000003E-4"/>
    <x v="0"/>
    <x v="0"/>
  </r>
  <r>
    <d v="2026-02-17T09:00:00"/>
    <d v="2026-02-23T01:00:00"/>
    <s v="BUY"/>
    <n v="1.18327"/>
    <m/>
    <n v="1.1833499999999999"/>
    <s v="EMA"/>
    <n v="0"/>
    <n v="0"/>
    <n v="3.2000000000000003E-4"/>
    <x v="2"/>
    <x v="0"/>
  </r>
  <r>
    <d v="2026-02-23T01:00:00"/>
    <d v="2026-02-23T06:00:00"/>
    <s v="SELL"/>
    <m/>
    <n v="1.1833499999999999"/>
    <n v="1.1820999999999999"/>
    <s v="EMA"/>
    <n v="1.0000000000000001E-5"/>
    <n v="1"/>
    <n v="3.3E-4"/>
    <x v="0"/>
    <x v="1"/>
  </r>
  <r>
    <d v="2026-02-26T03:00:00"/>
    <d v="2026-02-26T10:00:00"/>
    <s v="SELL"/>
    <m/>
    <n v="1.1827300000000001"/>
    <n v="1.1802699999999999"/>
    <s v="EMA"/>
    <n v="2.0000000000000002E-5"/>
    <n v="2"/>
    <n v="3.5E-4"/>
    <x v="1"/>
    <x v="1"/>
  </r>
  <r>
    <d v="2026-03-02T08:00:00"/>
    <d v="2026-03-10T09:00:00"/>
    <s v="BUY"/>
    <n v="1.17323"/>
    <m/>
    <n v="1.1660900000000001"/>
    <s v="EMA"/>
    <n v="-6.9999999999999994E-5"/>
    <n v="-6.9999999999999991"/>
    <n v="2.7999999999999998E-4"/>
    <x v="0"/>
    <x v="0"/>
  </r>
  <r>
    <d v="2026-03-12T01:00:00"/>
    <d v="2026-03-19T18:00:00"/>
    <s v="BUY"/>
    <n v="1.1542699999999999"/>
    <m/>
    <n v="1.1536200000000001"/>
    <s v="EMA"/>
    <n v="-1.0000000000000001E-5"/>
    <n v="-1"/>
    <n v="2.7E-4"/>
    <x v="1"/>
    <x v="0"/>
  </r>
  <r>
    <d v="2026-03-19T19:00:00"/>
    <d v="2026-03-20T16:00:00"/>
    <s v="SELL"/>
    <m/>
    <n v="1.15604"/>
    <n v="1.1535"/>
    <s v="EMA"/>
    <n v="3.0000000000000001E-5"/>
    <n v="3"/>
    <n v="2.9999999999999997E-4"/>
    <x v="1"/>
    <x v="1"/>
  </r>
  <r>
    <d v="2026-03-23T12:00:00"/>
    <d v="2026-03-23T13:00:00"/>
    <s v="BUY"/>
    <n v="1.1485799999999999"/>
    <m/>
    <n v="1.1556599999999999"/>
    <s v="EMA"/>
    <n v="6.9999999999999994E-5"/>
    <n v="6.9999999999999991"/>
    <n v="3.6999999999999999E-4"/>
    <x v="0"/>
    <x v="1"/>
  </r>
  <r>
    <d v="2026-03-30T01:00:00"/>
    <d v="2026-03-31T16:00:00"/>
    <s v="BUY"/>
    <n v="1.14886"/>
    <m/>
    <n v="1.15327"/>
    <s v="EMA"/>
    <n v="4.0000000000000003E-5"/>
    <n v="4"/>
    <n v="4.0999999999999999E-4"/>
    <x v="0"/>
    <x v="1"/>
  </r>
  <r>
    <d v="2026-03-31T16:00:00"/>
    <d v="2026-03-31T17:00:00"/>
    <s v="SELL"/>
    <m/>
    <n v="1.15327"/>
    <n v="1.15202"/>
    <s v="EMA"/>
    <n v="1.0000000000000001E-5"/>
    <n v="1"/>
    <n v="4.2000000000000002E-4"/>
    <x v="2"/>
    <x v="1"/>
  </r>
  <r>
    <d v="2026-03-31T19:00:00"/>
    <d v="2026-04-02T06:00:00"/>
    <s v="SELL"/>
    <m/>
    <n v="1.15405"/>
    <n v="1.1539900000000001"/>
    <s v="EMA"/>
    <n v="0"/>
    <n v="0"/>
    <n v="4.2000000000000002E-4"/>
    <x v="2"/>
    <x v="0"/>
  </r>
  <r>
    <d v="2026-04-06T10:00:00"/>
    <d v="2026-04-07T03:00:00"/>
    <s v="SELL"/>
    <m/>
    <n v="1.1564300000000001"/>
    <n v="1.1537599999999999"/>
    <s v="EMA"/>
    <n v="3.0000000000000001E-5"/>
    <n v="3"/>
    <n v="4.4999999999999999E-4"/>
    <x v="0"/>
    <x v="1"/>
  </r>
  <r>
    <m/>
    <m/>
    <m/>
    <m/>
    <m/>
    <m/>
    <m/>
    <m/>
    <m/>
    <m/>
    <x v="5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d v="2024-09-09T10:00:00"/>
    <d v="2024-09-12T21:00:00"/>
    <s v="BUY"/>
    <n v="1.10592"/>
    <m/>
    <n v="1.10608"/>
    <s v="EMA"/>
    <n v="0"/>
    <n v="0"/>
    <n v="0"/>
    <n v="2"/>
    <n v="0"/>
    <n v="3.4583333333430346"/>
    <x v="0"/>
  </r>
  <r>
    <d v="2024-09-12T21:00:00"/>
    <d v="2024-09-19T03:00:00"/>
    <s v="SELL"/>
    <m/>
    <n v="1.10608"/>
    <n v="1.1081700000000001"/>
    <s v="EMA"/>
    <n v="-2.0000000000000002E-5"/>
    <n v="-2"/>
    <n v="-2.0000000000000002E-5"/>
    <n v="5"/>
    <n v="0"/>
    <n v="6.25"/>
    <x v="0"/>
  </r>
  <r>
    <d v="2024-09-23T10:00:00"/>
    <d v="2024-09-23T14:00:00"/>
    <s v="BUY"/>
    <n v="1.11015"/>
    <m/>
    <n v="1.11198"/>
    <s v="EMA"/>
    <n v="2.0000000000000002E-5"/>
    <n v="2"/>
    <n v="0"/>
    <n v="2"/>
    <n v="1"/>
    <n v="0.16666666668606922"/>
    <x v="1"/>
  </r>
  <r>
    <d v="2024-09-24T21:00:00"/>
    <d v="2024-09-25T22:00:00"/>
    <s v="SELL"/>
    <m/>
    <n v="1.11663"/>
    <n v="1.11259"/>
    <s v="EMA"/>
    <n v="4.0000000000000003E-5"/>
    <n v="4"/>
    <n v="4.0000000000000003E-5"/>
    <n v="3"/>
    <n v="1"/>
    <n v="1.0416666666569654"/>
    <x v="2"/>
  </r>
  <r>
    <d v="2024-09-25T22:00:00"/>
    <d v="2024-09-26T03:00:00"/>
    <s v="BUY"/>
    <n v="1.11259"/>
    <m/>
    <n v="1.11365"/>
    <s v="EMA"/>
    <n v="1.0000000000000001E-5"/>
    <n v="1"/>
    <n v="5.0000000000000002E-5"/>
    <n v="4"/>
    <n v="1"/>
    <n v="0.20833333334303461"/>
    <x v="0"/>
  </r>
  <r>
    <d v="2024-10-01T11:00:00"/>
    <d v="2024-10-30T10:00:00"/>
    <s v="BUY"/>
    <n v="1.1102700000000001"/>
    <m/>
    <n v="1.08344"/>
    <s v="EMA"/>
    <n v="-2.7E-4"/>
    <n v="-27"/>
    <n v="-2.2000000000000001E-4"/>
    <n v="3"/>
    <n v="0"/>
    <n v="28.958333333313931"/>
    <x v="2"/>
  </r>
  <r>
    <d v="2024-10-31T14:00:00"/>
    <d v="2024-11-01T19:00:00"/>
    <s v="SELL"/>
    <m/>
    <n v="1.0879700000000001"/>
    <n v="1.08361"/>
    <s v="EMA"/>
    <n v="4.0000000000000003E-5"/>
    <n v="4"/>
    <n v="-1.8000000000000001E-4"/>
    <n v="5"/>
    <n v="1"/>
    <n v="1.2083333333139308"/>
    <x v="3"/>
  </r>
  <r>
    <d v="2024-11-05T18:00:00"/>
    <d v="2024-11-06T02:00:00"/>
    <s v="SELL"/>
    <m/>
    <n v="1.09199"/>
    <n v="1.0836399999999999"/>
    <s v="EMA"/>
    <n v="8.0000000000000007E-5"/>
    <n v="8"/>
    <n v="-1E-4"/>
    <n v="3"/>
    <n v="1"/>
    <n v="0.33333333334303461"/>
    <x v="2"/>
  </r>
  <r>
    <d v="2024-11-06T02:00:00"/>
    <d v="2024-11-27T12:00:00"/>
    <s v="BUY"/>
    <n v="1.0836399999999999"/>
    <m/>
    <n v="1.05277"/>
    <s v="EMA"/>
    <n v="-3.1E-4"/>
    <n v="-31"/>
    <n v="-4.0999999999999999E-4"/>
    <n v="4"/>
    <n v="0"/>
    <n v="21.416666666656965"/>
    <x v="2"/>
  </r>
  <r>
    <d v="2024-11-27T15:00:00"/>
    <d v="2024-12-02T02:00:00"/>
    <s v="SELL"/>
    <m/>
    <n v="1.0572699999999999"/>
    <n v="1.0536300000000001"/>
    <s v="EMA"/>
    <n v="4.0000000000000003E-5"/>
    <n v="4"/>
    <n v="-3.6999999999999999E-4"/>
    <n v="4"/>
    <n v="1"/>
    <n v="4.4583333333430346"/>
    <x v="1"/>
  </r>
  <r>
    <d v="2024-12-02T16:00:00"/>
    <d v="2024-12-04T17:00:00"/>
    <s v="BUY"/>
    <n v="1.04738"/>
    <m/>
    <n v="1.0529500000000001"/>
    <s v="EMA"/>
    <n v="6.0000000000000002E-5"/>
    <n v="6"/>
    <n v="-3.1E-4"/>
    <n v="2"/>
    <n v="1"/>
    <n v="2.0416666666860692"/>
    <x v="2"/>
  </r>
  <r>
    <d v="2024-12-05T15:00:00"/>
    <d v="2024-12-09T05:00:00"/>
    <s v="SELL"/>
    <m/>
    <n v="1.0567"/>
    <n v="1.0537399999999999"/>
    <s v="EMA"/>
    <n v="3.0000000000000001E-5"/>
    <n v="3"/>
    <n v="-2.7999999999999998E-4"/>
    <n v="5"/>
    <n v="1"/>
    <n v="3.5833333333430346"/>
    <x v="1"/>
  </r>
  <r>
    <d v="2024-12-10T17:00:00"/>
    <d v="2024-12-16T03:00:00"/>
    <s v="BUY"/>
    <n v="1.0503899999999999"/>
    <m/>
    <n v="1.0519000000000001"/>
    <s v="EMA"/>
    <n v="2.0000000000000002E-5"/>
    <n v="2"/>
    <n v="-2.5999999999999998E-4"/>
    <n v="3"/>
    <n v="1"/>
    <n v="5.4166666666569654"/>
    <x v="1"/>
  </r>
  <r>
    <d v="2024-12-18T21:00:00"/>
    <d v="2024-12-27T13:00:00"/>
    <s v="BUY"/>
    <n v="1.0377700000000001"/>
    <m/>
    <n v="1.0438799999999999"/>
    <s v="EMA"/>
    <n v="6.0000000000000002E-5"/>
    <n v="6"/>
    <n v="-2.0000000000000001E-4"/>
    <n v="4"/>
    <n v="1"/>
    <n v="8.6666666666569654"/>
    <x v="3"/>
  </r>
  <r>
    <d v="2024-12-31T17:00:00"/>
    <d v="2025-01-06T13:00:00"/>
    <s v="BUY"/>
    <n v="1.03548"/>
    <m/>
    <n v="1.0421800000000001"/>
    <s v="EMA"/>
    <n v="6.9999999999999994E-5"/>
    <n v="6.9999999999999991"/>
    <n v="-1.2999999999999999E-4"/>
    <n v="3"/>
    <n v="1"/>
    <n v="5.8333333333139308"/>
    <x v="1"/>
  </r>
  <r>
    <d v="2025-01-06T13:00:00"/>
    <d v="2025-01-07T17:00:00"/>
    <s v="SELL"/>
    <m/>
    <n v="1.0421800000000001"/>
    <n v="1.03729"/>
    <s v="EMA"/>
    <n v="5.0000000000000002E-5"/>
    <n v="5"/>
    <n v="-8.0000000000000007E-5"/>
    <n v="2"/>
    <n v="1"/>
    <n v="1.1666666666860692"/>
    <x v="4"/>
  </r>
  <r>
    <d v="2025-01-08T10:00:00"/>
    <d v="2025-01-14T23:00:00"/>
    <s v="BUY"/>
    <n v="1.0318799999999999"/>
    <m/>
    <n v="1.0307599999999999"/>
    <s v="EMA"/>
    <n v="-1.0000000000000001E-5"/>
    <n v="-1"/>
    <n v="-9.0000000000000006E-5"/>
    <n v="4"/>
    <n v="0"/>
    <n v="6.5416666666860692"/>
    <x v="4"/>
  </r>
  <r>
    <d v="2025-01-14T23:00:00"/>
    <d v="2025-01-15T02:00:00"/>
    <s v="SELL"/>
    <m/>
    <n v="1.0307599999999999"/>
    <n v="1.0301400000000001"/>
    <s v="EMA"/>
    <n v="1.0000000000000001E-5"/>
    <n v="1"/>
    <n v="-8.0000000000000007E-5"/>
    <n v="3"/>
    <n v="1"/>
    <n v="0.125"/>
    <x v="2"/>
  </r>
  <r>
    <d v="2025-01-15T15:00:00"/>
    <d v="2025-01-15T18:00:00"/>
    <s v="SELL"/>
    <m/>
    <n v="1.0344599999999999"/>
    <n v="1.0281199999999999"/>
    <s v="EMA"/>
    <n v="6.0000000000000002E-5"/>
    <n v="6"/>
    <n v="-2.0000000000000002E-5"/>
    <n v="4"/>
    <n v="1"/>
    <n v="0.125"/>
    <x v="2"/>
  </r>
  <r>
    <d v="2025-01-20T15:00:00"/>
    <d v="2025-01-29T11:00:00"/>
    <s v="SELL"/>
    <m/>
    <n v="1.0398099999999999"/>
    <n v="1.0403899999999999"/>
    <s v="EMA"/>
    <n v="-1.0000000000000001E-5"/>
    <n v="-1"/>
    <n v="-3.0000000000000001E-5"/>
    <n v="2"/>
    <n v="0"/>
    <n v="8.8333333333430346"/>
    <x v="2"/>
  </r>
  <r>
    <d v="2025-01-29T15:00:00"/>
    <d v="2025-01-29T17:00:00"/>
    <s v="BUY"/>
    <n v="1.03877"/>
    <m/>
    <n v="1.0419499999999999"/>
    <s v="EMA"/>
    <n v="3.0000000000000001E-5"/>
    <n v="3"/>
    <n v="0"/>
    <n v="4"/>
    <n v="1"/>
    <n v="8.333333334303461E-2"/>
    <x v="2"/>
  </r>
  <r>
    <d v="2025-02-03T00:00:00"/>
    <d v="2025-02-04T17:00:00"/>
    <s v="BUY"/>
    <n v="1.02502"/>
    <m/>
    <n v="1.03803"/>
    <s v="EMA"/>
    <n v="1.2999999999999999E-4"/>
    <n v="12.999999999999998"/>
    <n v="1.2999999999999999E-4"/>
    <n v="2"/>
    <n v="1"/>
    <n v="1.7083333333430346"/>
    <x v="4"/>
  </r>
  <r>
    <d v="2025-02-05T12:00:00"/>
    <d v="2025-02-06T10:00:00"/>
    <s v="SELL"/>
    <m/>
    <n v="1.0425199999999999"/>
    <n v="1.0365"/>
    <s v="EMA"/>
    <n v="6.0000000000000002E-5"/>
    <n v="6"/>
    <n v="1.9000000000000001E-4"/>
    <n v="4"/>
    <n v="1"/>
    <n v="0.91666666665696539"/>
    <x v="0"/>
  </r>
  <r>
    <d v="2025-02-10T00:00:00"/>
    <d v="2025-02-11T21:00:00"/>
    <s v="BUY"/>
    <n v="1.0289600000000001"/>
    <m/>
    <n v="1.0358099999999999"/>
    <s v="EMA"/>
    <n v="6.9999999999999994E-5"/>
    <n v="6.9999999999999991"/>
    <n v="2.5999999999999998E-4"/>
    <n v="2"/>
    <n v="1"/>
    <n v="1.875"/>
    <x v="4"/>
  </r>
  <r>
    <d v="2025-02-11T21:00:00"/>
    <d v="2025-02-12T15:00:00"/>
    <s v="SELL"/>
    <m/>
    <n v="1.0358099999999999"/>
    <n v="1.0333399999999999"/>
    <s v="EMA"/>
    <n v="2.0000000000000002E-5"/>
    <n v="2"/>
    <n v="2.7999999999999998E-4"/>
    <n v="3"/>
    <n v="1"/>
    <n v="0.75"/>
    <x v="2"/>
  </r>
  <r>
    <d v="2025-02-12T19:00:00"/>
    <d v="2025-02-19T12:00:00"/>
    <s v="SELL"/>
    <m/>
    <n v="1.0426299999999999"/>
    <n v="1.0423899999999999"/>
    <s v="EMA"/>
    <n v="0"/>
    <n v="0"/>
    <n v="2.7999999999999998E-4"/>
    <n v="4"/>
    <n v="0"/>
    <n v="6.7083333333430346"/>
    <x v="2"/>
  </r>
  <r>
    <d v="2025-02-19T12:00:00"/>
    <d v="2025-02-19T14:00:00"/>
    <s v="BUY"/>
    <n v="1.0423899999999999"/>
    <m/>
    <n v="1.0428200000000001"/>
    <s v="EMA"/>
    <n v="0"/>
    <n v="0"/>
    <n v="2.7999999999999998E-4"/>
    <n v="4"/>
    <n v="0"/>
    <n v="8.333333334303461E-2"/>
    <x v="2"/>
  </r>
  <r>
    <d v="2025-02-19T18:00:00"/>
    <d v="2025-02-19T21:00:00"/>
    <s v="BUY"/>
    <n v="1.04047"/>
    <m/>
    <n v="1.0425899999999999"/>
    <s v="EMA"/>
    <n v="2.0000000000000002E-5"/>
    <n v="2"/>
    <n v="2.9999999999999997E-4"/>
    <n v="4"/>
    <n v="1"/>
    <n v="0.125"/>
    <x v="2"/>
  </r>
  <r>
    <d v="2025-02-20T17:00:00"/>
    <d v="2025-02-27T05:00:00"/>
    <s v="SELL"/>
    <m/>
    <n v="1.04741"/>
    <n v="1.04657"/>
    <s v="EMA"/>
    <n v="1.0000000000000001E-5"/>
    <n v="1"/>
    <n v="3.1E-4"/>
    <n v="5"/>
    <n v="1"/>
    <n v="6.5"/>
    <x v="0"/>
  </r>
  <r>
    <d v="2025-02-27T15:00:00"/>
    <d v="2025-03-03T13:00:00"/>
    <s v="BUY"/>
    <n v="1.0423500000000001"/>
    <m/>
    <n v="1.0452600000000001"/>
    <s v="EMA"/>
    <n v="3.0000000000000001E-5"/>
    <n v="3"/>
    <n v="3.4000000000000002E-4"/>
    <n v="5"/>
    <n v="1"/>
    <n v="3.9166666666569654"/>
    <x v="1"/>
  </r>
  <r>
    <d v="2025-03-03T14:00:00"/>
    <d v="2025-03-20T11:00:00"/>
    <s v="SELL"/>
    <m/>
    <n v="1.04705"/>
    <n v="1.0852299999999999"/>
    <s v="EMA"/>
    <n v="-3.8000000000000002E-4"/>
    <n v="-38"/>
    <n v="-4.0000000000000003E-5"/>
    <n v="2"/>
    <n v="0"/>
    <n v="16.875"/>
    <x v="0"/>
  </r>
  <r>
    <d v="2025-03-20T11:00:00"/>
    <d v="2025-03-28T16:00:00"/>
    <s v="BUY"/>
    <n v="1.0852299999999999"/>
    <m/>
    <n v="1.0823100000000001"/>
    <s v="EMA"/>
    <n v="-3.0000000000000001E-5"/>
    <n v="-3"/>
    <n v="-6.9999999999999994E-5"/>
    <n v="5"/>
    <n v="0"/>
    <n v="8.2083333333139308"/>
    <x v="3"/>
  </r>
  <r>
    <d v="2025-04-02T17:00:00"/>
    <d v="2025-04-11T11:00:00"/>
    <s v="SELL"/>
    <m/>
    <n v="1.08586"/>
    <n v="1.1427400000000001"/>
    <s v="SL"/>
    <n v="-5.6999999999999998E-4"/>
    <n v="-57"/>
    <n v="-6.4000000000000005E-4"/>
    <n v="4"/>
    <n v="0"/>
    <n v="8.75"/>
    <x v="3"/>
  </r>
  <r>
    <d v="2025-04-11T11:00:00"/>
    <d v="2025-04-23T01:00:00"/>
    <s v="SELL"/>
    <m/>
    <n v="1.1427400000000001"/>
    <n v="1.13374"/>
    <s v="EMA"/>
    <n v="9.0000000000000006E-5"/>
    <n v="9"/>
    <n v="-5.5000000000000003E-4"/>
    <n v="6"/>
    <n v="1"/>
    <n v="11.583333333313931"/>
    <x v="2"/>
  </r>
  <r>
    <d v="2025-04-23T01:00:00"/>
    <d v="2025-04-23T03:00:00"/>
    <s v="BUY"/>
    <n v="1.13374"/>
    <m/>
    <n v="1.1396999999999999"/>
    <s v="EMA"/>
    <n v="6.0000000000000002E-5"/>
    <n v="6"/>
    <n v="-4.8999999999999998E-4"/>
    <n v="4"/>
    <n v="1"/>
    <n v="8.333333334303461E-2"/>
    <x v="2"/>
  </r>
  <r>
    <d v="2025-05-01T04:00:00"/>
    <d v="2025-05-02T12:00:00"/>
    <s v="BUY"/>
    <n v="1.1308499999999999"/>
    <m/>
    <n v="1.13503"/>
    <s v="EMA"/>
    <n v="4.0000000000000003E-5"/>
    <n v="4"/>
    <n v="-4.4999999999999999E-4"/>
    <n v="5"/>
    <n v="1"/>
    <n v="1.3333333333430346"/>
    <x v="3"/>
  </r>
  <r>
    <d v="2025-05-08T19:00:00"/>
    <d v="2025-05-14T12:00:00"/>
    <s v="BUY"/>
    <n v="1.1226100000000001"/>
    <m/>
    <n v="1.12523"/>
    <s v="EMA"/>
    <n v="3.0000000000000001E-5"/>
    <n v="3"/>
    <n v="-4.2000000000000002E-4"/>
    <n v="5"/>
    <n v="1"/>
    <n v="5.7083333333430346"/>
    <x v="2"/>
  </r>
  <r>
    <d v="2025-05-14T12:00:00"/>
    <d v="2025-05-14T13:00:00"/>
    <s v="SELL"/>
    <m/>
    <n v="1.12523"/>
    <n v="1.1231100000000001"/>
    <s v="EMA"/>
    <n v="2.0000000000000002E-5"/>
    <n v="2"/>
    <n v="-4.0000000000000002E-4"/>
    <n v="4"/>
    <n v="1"/>
    <n v="4.166666665696539E-2"/>
    <x v="2"/>
  </r>
  <r>
    <d v="2025-05-16T18:00:00"/>
    <d v="2025-05-19T10:00:00"/>
    <s v="BUY"/>
    <n v="1.1140300000000001"/>
    <m/>
    <n v="1.1238300000000001"/>
    <s v="EMA"/>
    <n v="1E-4"/>
    <n v="10"/>
    <n v="-2.9999999999999997E-4"/>
    <n v="6"/>
    <n v="1"/>
    <n v="2.6666666666569654"/>
    <x v="1"/>
  </r>
  <r>
    <d v="2025-05-19T11:00:00"/>
    <d v="2025-05-28T05:00:00"/>
    <s v="SELL"/>
    <m/>
    <n v="1.12575"/>
    <n v="1.1305499999999999"/>
    <s v="EMA"/>
    <n v="-5.0000000000000002E-5"/>
    <n v="-5"/>
    <n v="-3.5E-4"/>
    <n v="2"/>
    <n v="0"/>
    <n v="8.75"/>
    <x v="2"/>
  </r>
  <r>
    <d v="2025-05-28T05:00:00"/>
    <d v="2025-05-28T08:00:00"/>
    <s v="BUY"/>
    <n v="1.1305499999999999"/>
    <m/>
    <n v="1.1314900000000001"/>
    <s v="EMA"/>
    <n v="1.0000000000000001E-5"/>
    <n v="1"/>
    <n v="-3.4000000000000002E-4"/>
    <n v="4"/>
    <n v="1"/>
    <n v="0.125"/>
    <x v="2"/>
  </r>
  <r>
    <d v="2025-05-29T02:00:00"/>
    <d v="2025-05-29T15:00:00"/>
    <s v="BUY"/>
    <n v="1.1229800000000001"/>
    <m/>
    <n v="1.1349499999999999"/>
    <s v="EMA"/>
    <n v="1.2E-4"/>
    <n v="12"/>
    <n v="-2.2000000000000001E-4"/>
    <n v="5"/>
    <n v="1"/>
    <n v="0.54166666665696539"/>
    <x v="0"/>
  </r>
  <r>
    <d v="2025-05-29T18:00:00"/>
    <d v="2025-06-10T10:00:00"/>
    <s v="SELL"/>
    <m/>
    <n v="1.13697"/>
    <n v="1.13923"/>
    <s v="EMA"/>
    <n v="-2.0000000000000002E-5"/>
    <n v="-2"/>
    <n v="-2.4000000000000001E-4"/>
    <n v="5"/>
    <n v="0"/>
    <n v="11.666666666656965"/>
    <x v="4"/>
  </r>
  <r>
    <d v="2025-06-11T17:00:00"/>
    <d v="2025-06-17T20:00:00"/>
    <s v="SELL"/>
    <m/>
    <n v="1.14818"/>
    <n v="1.14866"/>
    <s v="EMA"/>
    <n v="0"/>
    <n v="0"/>
    <n v="-2.4000000000000001E-4"/>
    <n v="4"/>
    <n v="0"/>
    <n v="6.125"/>
    <x v="4"/>
  </r>
  <r>
    <d v="2025-06-17T20:00:00"/>
    <d v="2025-06-18T04:00:00"/>
    <s v="BUY"/>
    <n v="1.14866"/>
    <m/>
    <n v="1.1496999999999999"/>
    <s v="EMA"/>
    <n v="1.0000000000000001E-5"/>
    <n v="1"/>
    <n v="-2.3000000000000001E-4"/>
    <n v="3"/>
    <n v="1"/>
    <n v="0.33333333331393078"/>
    <x v="2"/>
  </r>
  <r>
    <d v="2025-06-23T22:00:00"/>
    <d v="2025-07-07T11:00:00"/>
    <s v="SELL"/>
    <m/>
    <n v="1.1578599999999999"/>
    <n v="1.1724399999999999"/>
    <s v="EMA"/>
    <n v="-1.4999999999999999E-4"/>
    <n v="-14.999999999999998"/>
    <n v="-3.8000000000000002E-4"/>
    <n v="2"/>
    <n v="0"/>
    <n v="13.541666666686069"/>
    <x v="1"/>
  </r>
  <r>
    <d v="2025-07-07T11:00:00"/>
    <d v="2025-07-07T12:00:00"/>
    <s v="BUY"/>
    <n v="1.1724399999999999"/>
    <m/>
    <n v="1.1733899999999999"/>
    <s v="EMA"/>
    <n v="1.0000000000000001E-5"/>
    <n v="1"/>
    <n v="-3.6999999999999999E-4"/>
    <n v="2"/>
    <n v="1"/>
    <n v="4.166666665696539E-2"/>
    <x v="1"/>
  </r>
  <r>
    <d v="2025-07-07T13:00:00"/>
    <d v="2025-07-07T14:00:00"/>
    <s v="BUY"/>
    <n v="1.17276"/>
    <m/>
    <n v="1.17296"/>
    <s v="EMA"/>
    <n v="0"/>
    <n v="0"/>
    <n v="-3.6999999999999999E-4"/>
    <n v="2"/>
    <n v="0"/>
    <n v="4.166666668606922E-2"/>
    <x v="1"/>
  </r>
  <r>
    <d v="2025-07-07T15:00:00"/>
    <d v="2025-07-07T16:00:00"/>
    <s v="BUY"/>
    <n v="1.1722600000000001"/>
    <m/>
    <n v="1.1735199999999999"/>
    <s v="EMA"/>
    <n v="1.0000000000000001E-5"/>
    <n v="1"/>
    <n v="-3.6000000000000002E-4"/>
    <n v="2"/>
    <n v="1"/>
    <n v="4.166666665696539E-2"/>
    <x v="1"/>
  </r>
  <r>
    <d v="2025-07-07T19:00:00"/>
    <d v="2025-07-08T01:00:00"/>
    <s v="BUY"/>
    <n v="1.16943"/>
    <m/>
    <n v="1.1735199999999999"/>
    <s v="EMA"/>
    <n v="4.0000000000000003E-5"/>
    <n v="4"/>
    <n v="-3.2000000000000003E-4"/>
    <n v="2"/>
    <n v="1"/>
    <n v="0.25"/>
    <x v="4"/>
  </r>
  <r>
    <d v="2025-07-10T17:00:00"/>
    <d v="2025-07-18T16:00:00"/>
    <s v="BUY"/>
    <n v="1.1679900000000001"/>
    <m/>
    <n v="1.16665"/>
    <s v="EMA"/>
    <n v="-1.0000000000000001E-5"/>
    <n v="-1"/>
    <n v="-3.3E-4"/>
    <n v="5"/>
    <n v="0"/>
    <n v="7.9583333333139308"/>
    <x v="3"/>
  </r>
  <r>
    <d v="2025-07-18T16:00:00"/>
    <d v="2025-07-18T17:00:00"/>
    <s v="SELL"/>
    <m/>
    <n v="1.16665"/>
    <n v="1.16479"/>
    <s v="EMA"/>
    <n v="2.0000000000000002E-5"/>
    <n v="2"/>
    <n v="-3.1E-4"/>
    <n v="6"/>
    <n v="1"/>
    <n v="4.166666668606922E-2"/>
    <x v="3"/>
  </r>
  <r>
    <d v="2025-07-21T14:00:00"/>
    <d v="2025-07-28T10:00:00"/>
    <s v="SELL"/>
    <m/>
    <n v="1.16676"/>
    <n v="1.1674899999999999"/>
    <s v="EMA"/>
    <n v="-1.0000000000000001E-5"/>
    <n v="-1"/>
    <n v="-3.2000000000000003E-4"/>
    <n v="2"/>
    <n v="0"/>
    <n v="6.8333333333139308"/>
    <x v="1"/>
  </r>
  <r>
    <d v="2025-07-28T10:00:00"/>
    <d v="2025-08-01T22:00:00"/>
    <s v="BUY"/>
    <n v="1.1674899999999999"/>
    <m/>
    <n v="1.1569"/>
    <s v="EMA"/>
    <n v="-1.1E-4"/>
    <n v="-11"/>
    <n v="-4.2999999999999999E-4"/>
    <n v="2"/>
    <n v="0"/>
    <n v="4.5"/>
    <x v="3"/>
  </r>
  <r>
    <d v="2025-08-01T22:00:00"/>
    <d v="2025-08-04T03:00:00"/>
    <s v="SELL"/>
    <m/>
    <n v="1.1569"/>
    <n v="1.1557999999999999"/>
    <s v="EMA"/>
    <n v="1.0000000000000001E-5"/>
    <n v="1"/>
    <n v="-4.2000000000000002E-4"/>
    <n v="6"/>
    <n v="1"/>
    <n v="2.2083333333430346"/>
    <x v="1"/>
  </r>
  <r>
    <d v="2025-08-06T15:00:00"/>
    <d v="2025-08-11T17:00:00"/>
    <s v="SELL"/>
    <m/>
    <n v="1.1623699999999999"/>
    <n v="1.1595899999999999"/>
    <s v="EMA"/>
    <n v="3.0000000000000001E-5"/>
    <n v="3"/>
    <n v="-3.8999999999999999E-4"/>
    <n v="4"/>
    <n v="1"/>
    <n v="5.0833333333430346"/>
    <x v="1"/>
  </r>
  <r>
    <d v="2025-08-11T17:00:00"/>
    <d v="2025-08-11T21:00:00"/>
    <s v="BUY"/>
    <n v="1.1595899999999999"/>
    <m/>
    <n v="1.16124"/>
    <s v="EMA"/>
    <n v="2.0000000000000002E-5"/>
    <n v="2"/>
    <n v="-3.6999999999999999E-4"/>
    <n v="2"/>
    <n v="1"/>
    <n v="0.16666666665696539"/>
    <x v="1"/>
  </r>
  <r>
    <d v="2025-08-12T19:00:00"/>
    <d v="2025-08-14T18:00:00"/>
    <s v="SELL"/>
    <m/>
    <n v="1.1679999999999999"/>
    <n v="1.16431"/>
    <s v="EMA"/>
    <n v="4.0000000000000003E-5"/>
    <n v="4"/>
    <n v="-3.3E-4"/>
    <n v="3"/>
    <n v="1"/>
    <n v="1.9583333333430346"/>
    <x v="0"/>
  </r>
  <r>
    <d v="2025-08-15T16:00:00"/>
    <d v="2025-08-18T19:00:00"/>
    <s v="SELL"/>
    <m/>
    <n v="1.17025"/>
    <n v="1.1657999999999999"/>
    <s v="EMA"/>
    <n v="4.0000000000000003E-5"/>
    <n v="4"/>
    <n v="-2.9E-4"/>
    <n v="6"/>
    <n v="1"/>
    <n v="3.125"/>
    <x v="1"/>
  </r>
  <r>
    <d v="2025-08-18T19:00:00"/>
    <d v="2025-08-18T20:00:00"/>
    <s v="BUY"/>
    <n v="1.1657999999999999"/>
    <m/>
    <n v="1.16629"/>
    <s v="EMA"/>
    <n v="0"/>
    <n v="0"/>
    <n v="-2.9E-4"/>
    <n v="2"/>
    <n v="0"/>
    <n v="4.166666668606922E-2"/>
    <x v="1"/>
  </r>
  <r>
    <d v="2025-08-20T04:00:00"/>
    <d v="2025-08-20T15:00:00"/>
    <s v="BUY"/>
    <n v="1.16276"/>
    <m/>
    <n v="1.1671400000000001"/>
    <s v="EMA"/>
    <n v="4.0000000000000003E-5"/>
    <n v="4"/>
    <n v="-2.5000000000000001E-4"/>
    <n v="4"/>
    <n v="1"/>
    <n v="0.45833333334303461"/>
    <x v="2"/>
  </r>
  <r>
    <d v="2025-08-22T07:00:00"/>
    <d v="2025-08-22T17:00:00"/>
    <s v="BUY"/>
    <n v="1.15845"/>
    <m/>
    <n v="1.17184"/>
    <s v="EMA"/>
    <n v="1.2999999999999999E-4"/>
    <n v="12.999999999999998"/>
    <n v="-1.2E-4"/>
    <n v="6"/>
    <n v="1"/>
    <n v="0.41666666668606922"/>
    <x v="3"/>
  </r>
  <r>
    <d v="2025-08-22T17:00:00"/>
    <d v="2025-08-25T19:00:00"/>
    <s v="SELL"/>
    <m/>
    <n v="1.17184"/>
    <n v="1.1654899999999999"/>
    <s v="EMA"/>
    <n v="6.0000000000000002E-5"/>
    <n v="6"/>
    <n v="-6.0000000000000002E-5"/>
    <n v="6"/>
    <n v="1"/>
    <n v="3.0833333333139308"/>
    <x v="1"/>
  </r>
  <r>
    <d v="2025-08-25T22:00:00"/>
    <d v="2025-08-26T14:00:00"/>
    <s v="BUY"/>
    <n v="1.1609799999999999"/>
    <m/>
    <n v="1.1654"/>
    <s v="EMA"/>
    <n v="4.0000000000000003E-5"/>
    <n v="4"/>
    <n v="-2.0000000000000002E-5"/>
    <n v="2"/>
    <n v="1"/>
    <n v="0.66666666668606922"/>
    <x v="4"/>
  </r>
  <r>
    <d v="2025-08-27T11:00:00"/>
    <d v="2025-08-28T02:00:00"/>
    <s v="BUY"/>
    <n v="1.15889"/>
    <m/>
    <n v="1.16476"/>
    <s v="EMA"/>
    <n v="6.0000000000000002E-5"/>
    <n v="6"/>
    <n v="4.0000000000000003E-5"/>
    <n v="4"/>
    <n v="1"/>
    <n v="0.625"/>
    <x v="0"/>
  </r>
  <r>
    <d v="2025-08-28T15:00:00"/>
    <d v="2025-09-02T10:00:00"/>
    <s v="SELL"/>
    <m/>
    <n v="1.16839"/>
    <n v="1.16459"/>
    <s v="EMA"/>
    <n v="4.0000000000000003E-5"/>
    <n v="4"/>
    <n v="8.0000000000000007E-5"/>
    <n v="5"/>
    <n v="1"/>
    <n v="4.7916666666569654"/>
    <x v="4"/>
  </r>
  <r>
    <d v="2025-09-02T10:00:00"/>
    <d v="2025-09-03T17:00:00"/>
    <s v="BUY"/>
    <n v="1.16459"/>
    <m/>
    <n v="1.1663699999999999"/>
    <s v="EMA"/>
    <n v="2.0000000000000002E-5"/>
    <n v="2"/>
    <n v="1E-4"/>
    <n v="3"/>
    <n v="1"/>
    <n v="1.2916666666860692"/>
    <x v="2"/>
  </r>
  <r>
    <d v="2025-09-05T15:00:00"/>
    <d v="2025-09-10T23:00:00"/>
    <s v="SELL"/>
    <m/>
    <n v="1.17344"/>
    <n v="1.1695199999999999"/>
    <s v="EMA"/>
    <n v="4.0000000000000003E-5"/>
    <n v="4"/>
    <n v="1.3999999999999999E-4"/>
    <n v="6"/>
    <n v="1"/>
    <n v="5.3333333333430346"/>
    <x v="2"/>
  </r>
  <r>
    <d v="2025-09-15T15:00:00"/>
    <d v="2025-09-18T16:00:00"/>
    <s v="SELL"/>
    <m/>
    <n v="1.1769700000000001"/>
    <n v="1.17672"/>
    <s v="EMA"/>
    <n v="0"/>
    <n v="0"/>
    <n v="1.3999999999999999E-4"/>
    <n v="2"/>
    <n v="0"/>
    <n v="3.0416666666569654"/>
    <x v="0"/>
  </r>
  <r>
    <d v="2025-09-19T14:00:00"/>
    <d v="2025-09-22T12:00:00"/>
    <s v="BUY"/>
    <n v="1.1736899999999999"/>
    <m/>
    <n v="1.17761"/>
    <s v="EMA"/>
    <n v="4.0000000000000003E-5"/>
    <n v="4"/>
    <n v="1.8000000000000001E-4"/>
    <n v="6"/>
    <n v="1"/>
    <n v="2.9166666666569654"/>
    <x v="1"/>
  </r>
  <r>
    <d v="2025-09-22T22:00:00"/>
    <d v="2025-09-24T11:00:00"/>
    <s v="SELL"/>
    <m/>
    <n v="1.18"/>
    <n v="1.1772100000000001"/>
    <s v="EMA"/>
    <n v="3.0000000000000001E-5"/>
    <n v="3"/>
    <n v="2.1000000000000001E-4"/>
    <n v="2"/>
    <n v="1"/>
    <n v="1.5416666666860692"/>
    <x v="2"/>
  </r>
  <r>
    <d v="2025-09-24T12:00:00"/>
    <d v="2025-09-29T15:00:00"/>
    <s v="BUY"/>
    <n v="1.17679"/>
    <m/>
    <n v="1.175"/>
    <s v="EMA"/>
    <n v="-2.0000000000000002E-5"/>
    <n v="-2"/>
    <n v="1.9000000000000001E-4"/>
    <n v="4"/>
    <n v="0"/>
    <n v="5.125"/>
    <x v="1"/>
  </r>
  <r>
    <d v="2025-09-29T15:00:00"/>
    <d v="2025-09-29T17:00:00"/>
    <s v="SELL"/>
    <m/>
    <n v="1.175"/>
    <n v="1.1730400000000001"/>
    <s v="EMA"/>
    <n v="2.0000000000000002E-5"/>
    <n v="2"/>
    <n v="2.1000000000000001E-4"/>
    <n v="2"/>
    <n v="1"/>
    <n v="8.333333334303461E-2"/>
    <x v="1"/>
  </r>
  <r>
    <d v="2025-10-02T18:00:00"/>
    <d v="2025-10-03T11:00:00"/>
    <s v="BUY"/>
    <n v="1.16967"/>
    <m/>
    <n v="1.17404"/>
    <s v="EMA"/>
    <n v="4.0000000000000003E-5"/>
    <n v="4"/>
    <n v="2.5000000000000001E-4"/>
    <n v="5"/>
    <n v="1"/>
    <n v="0.70833333334303461"/>
    <x v="3"/>
  </r>
  <r>
    <d v="2025-10-06T10:00:00"/>
    <d v="2025-10-15T09:00:00"/>
    <s v="BUY"/>
    <n v="1.16628"/>
    <m/>
    <n v="1.16343"/>
    <s v="EMA"/>
    <n v="-3.0000000000000001E-5"/>
    <n v="-3"/>
    <n v="2.2000000000000001E-4"/>
    <n v="2"/>
    <n v="0"/>
    <n v="8.9583333333430346"/>
    <x v="2"/>
  </r>
  <r>
    <d v="2025-10-15T09:00:00"/>
    <d v="2025-10-15T13:00:00"/>
    <s v="SELL"/>
    <m/>
    <n v="1.16343"/>
    <n v="1.1624399999999999"/>
    <s v="EMA"/>
    <n v="1.0000000000000001E-5"/>
    <n v="1"/>
    <n v="2.3000000000000001E-4"/>
    <n v="4"/>
    <n v="1"/>
    <n v="0.16666666665696539"/>
    <x v="2"/>
  </r>
  <r>
    <d v="2025-10-16T03:00:00"/>
    <d v="2025-10-20T16:00:00"/>
    <s v="SELL"/>
    <m/>
    <n v="1.1663300000000001"/>
    <n v="1.16492"/>
    <s v="EMA"/>
    <n v="1.0000000000000001E-5"/>
    <n v="1"/>
    <n v="2.4000000000000001E-4"/>
    <n v="5"/>
    <n v="1"/>
    <n v="4.5416666666569654"/>
    <x v="1"/>
  </r>
  <r>
    <d v="2025-10-21T14:00:00"/>
    <d v="2025-10-24T15:00:00"/>
    <s v="BUY"/>
    <n v="1.1613"/>
    <m/>
    <n v="1.16343"/>
    <s v="EMA"/>
    <n v="2.0000000000000002E-5"/>
    <n v="2"/>
    <n v="2.5999999999999998E-4"/>
    <n v="3"/>
    <n v="1"/>
    <n v="3.0416666666569654"/>
    <x v="3"/>
  </r>
  <r>
    <d v="2025-10-30T14:00:00"/>
    <d v="2025-11-06T22:00:00"/>
    <s v="BUY"/>
    <n v="1.1554899999999999"/>
    <m/>
    <n v="1.1547700000000001"/>
    <s v="EMA"/>
    <n v="-1.0000000000000001E-5"/>
    <n v="-1"/>
    <n v="2.5000000000000001E-4"/>
    <n v="5"/>
    <n v="0"/>
    <n v="7.3333333333139308"/>
    <x v="0"/>
  </r>
  <r>
    <d v="2025-11-07T15:00:00"/>
    <d v="2025-11-10T01:00:00"/>
    <s v="SELL"/>
    <m/>
    <n v="1.1567700000000001"/>
    <n v="1.1543300000000001"/>
    <s v="EMA"/>
    <n v="2.0000000000000002E-5"/>
    <n v="2"/>
    <n v="2.7E-4"/>
    <n v="6"/>
    <n v="1"/>
    <n v="2.4166666666569654"/>
    <x v="1"/>
  </r>
  <r>
    <d v="2025-11-11T15:00:00"/>
    <d v="2025-11-17T16:00:00"/>
    <s v="SELL"/>
    <m/>
    <n v="1.16011"/>
    <n v="1.15859"/>
    <s v="EMA"/>
    <n v="2.0000000000000002E-5"/>
    <n v="2"/>
    <n v="2.9E-4"/>
    <n v="3"/>
    <n v="1"/>
    <n v="6.0416666666569654"/>
    <x v="1"/>
  </r>
  <r>
    <d v="2025-11-19T18:00:00"/>
    <d v="2025-11-25T15:00:00"/>
    <s v="BUY"/>
    <n v="1.1539699999999999"/>
    <m/>
    <n v="1.15584"/>
    <s v="EMA"/>
    <n v="2.0000000000000002E-5"/>
    <n v="2"/>
    <n v="3.1E-4"/>
    <n v="4"/>
    <n v="1"/>
    <n v="5.875"/>
    <x v="4"/>
  </r>
  <r>
    <d v="2025-11-25T16:00:00"/>
    <d v="2025-11-26T15:00:00"/>
    <s v="SELL"/>
    <m/>
    <n v="1.1566700000000001"/>
    <n v="1.1552500000000001"/>
    <s v="EMA"/>
    <n v="1.0000000000000001E-5"/>
    <n v="1"/>
    <n v="3.2000000000000003E-4"/>
    <n v="3"/>
    <n v="1"/>
    <n v="0.95833333334303461"/>
    <x v="2"/>
  </r>
  <r>
    <d v="2025-11-28T12:00:00"/>
    <d v="2025-11-28T13:00:00"/>
    <s v="BUY"/>
    <n v="1.1559200000000001"/>
    <m/>
    <n v="1.1568099999999999"/>
    <s v="EMA"/>
    <n v="1.0000000000000001E-5"/>
    <n v="1"/>
    <n v="3.3E-4"/>
    <n v="6"/>
    <n v="1"/>
    <n v="4.166666665696539E-2"/>
    <x v="3"/>
  </r>
  <r>
    <d v="2025-12-01T12:00:00"/>
    <d v="2025-12-08T17:00:00"/>
    <s v="SELL"/>
    <m/>
    <n v="1.1627700000000001"/>
    <n v="1.16252"/>
    <s v="EMA"/>
    <n v="0"/>
    <n v="0"/>
    <n v="3.3E-4"/>
    <n v="2"/>
    <n v="0"/>
    <n v="7.2083333333430346"/>
    <x v="1"/>
  </r>
  <r>
    <d v="2025-12-10T21:00:00"/>
    <d v="2025-12-19T09:00:00"/>
    <s v="SELL"/>
    <m/>
    <n v="1.16784"/>
    <n v="1.1707799999999999"/>
    <s v="EMA"/>
    <n v="-3.0000000000000001E-5"/>
    <n v="-3"/>
    <n v="2.9999999999999997E-4"/>
    <n v="4"/>
    <n v="0"/>
    <n v="8.5"/>
    <x v="3"/>
  </r>
  <r>
    <d v="2025-12-22T16:00:00"/>
    <d v="2025-12-30T20:00:00"/>
    <s v="SELL"/>
    <m/>
    <n v="1.1760299999999999"/>
    <n v="1.17502"/>
    <s v="EMA"/>
    <n v="1.0000000000000001E-5"/>
    <n v="1"/>
    <n v="3.1E-4"/>
    <n v="2"/>
    <n v="1"/>
    <n v="8.1666666666860692"/>
    <x v="4"/>
  </r>
  <r>
    <d v="2025-12-31T10:00:00"/>
    <d v="2025-12-31T14:00:00"/>
    <s v="BUY"/>
    <n v="1.17231"/>
    <m/>
    <n v="1.17553"/>
    <s v="EMA"/>
    <n v="3.0000000000000001E-5"/>
    <n v="3"/>
    <n v="3.4000000000000002E-4"/>
    <n v="4"/>
    <n v="1"/>
    <n v="0.16666666668606922"/>
    <x v="2"/>
  </r>
  <r>
    <d v="2026-01-05T05:00:00"/>
    <d v="2026-01-06T04:00:00"/>
    <s v="BUY"/>
    <n v="1.16754"/>
    <m/>
    <n v="1.1737500000000001"/>
    <s v="EMA"/>
    <n v="6.0000000000000002E-5"/>
    <n v="6"/>
    <n v="4.0000000000000002E-4"/>
    <n v="2"/>
    <n v="1"/>
    <n v="0.95833333331393078"/>
    <x v="4"/>
  </r>
  <r>
    <d v="2026-01-08T18:00:00"/>
    <d v="2026-01-12T15:00:00"/>
    <s v="BUY"/>
    <n v="1.1654599999999999"/>
    <m/>
    <n v="1.1692899999999999"/>
    <s v="EMA"/>
    <n v="4.0000000000000003E-5"/>
    <n v="4"/>
    <n v="4.4000000000000002E-4"/>
    <n v="5"/>
    <n v="1"/>
    <n v="3.875"/>
    <x v="1"/>
  </r>
  <r>
    <d v="2026-01-15T15:00:00"/>
    <d v="2026-01-20T05:00:00"/>
    <s v="BUY"/>
    <n v="1.1601399999999999"/>
    <m/>
    <n v="1.16567"/>
    <s v="EMA"/>
    <n v="6.0000000000000002E-5"/>
    <n v="6"/>
    <n v="5.0000000000000001E-4"/>
    <n v="5"/>
    <n v="1"/>
    <n v="4.5833333333430346"/>
    <x v="4"/>
  </r>
  <r>
    <d v="2026-01-20T05:00:00"/>
    <d v="2026-01-30T22:00:00"/>
    <s v="SELL"/>
    <m/>
    <n v="1.16567"/>
    <n v="1.1853199999999999"/>
    <s v="EMA"/>
    <n v="-2.0000000000000001E-4"/>
    <n v="-20"/>
    <n v="2.9999999999999997E-4"/>
    <n v="3"/>
    <n v="0"/>
    <n v="10.708333333313931"/>
    <x v="3"/>
  </r>
  <r>
    <d v="2026-02-02T00:00:00"/>
    <d v="2026-02-02T02:00:00"/>
    <s v="BUY"/>
    <n v="1.1849000000000001"/>
    <m/>
    <n v="1.18668"/>
    <s v="EMA"/>
    <n v="2.0000000000000002E-5"/>
    <n v="2"/>
    <n v="3.2000000000000003E-4"/>
    <n v="2"/>
    <n v="1"/>
    <n v="8.333333334303461E-2"/>
    <x v="1"/>
  </r>
  <r>
    <d v="2026-02-02T15:00:00"/>
    <d v="2026-02-09T01:00:00"/>
    <s v="BUY"/>
    <n v="1.1820900000000001"/>
    <m/>
    <n v="1.1826700000000001"/>
    <s v="EMA"/>
    <n v="1.0000000000000001E-5"/>
    <n v="1"/>
    <n v="3.3E-4"/>
    <n v="2"/>
    <n v="1"/>
    <n v="6.4166666666569654"/>
    <x v="1"/>
  </r>
  <r>
    <d v="2026-02-09T08:00:00"/>
    <d v="2026-02-13T07:00:00"/>
    <s v="SELL"/>
    <m/>
    <n v="1.1852"/>
    <n v="1.1859599999999999"/>
    <s v="EMA"/>
    <n v="-1.0000000000000001E-5"/>
    <n v="-1"/>
    <n v="3.2000000000000003E-4"/>
    <n v="2"/>
    <n v="0"/>
    <n v="3.9583333333139308"/>
    <x v="3"/>
  </r>
  <r>
    <d v="2026-02-17T09:00:00"/>
    <d v="2026-02-23T01:00:00"/>
    <s v="BUY"/>
    <n v="1.18327"/>
    <m/>
    <n v="1.1833499999999999"/>
    <s v="EMA"/>
    <n v="0"/>
    <n v="0"/>
    <n v="3.2000000000000003E-4"/>
    <n v="3"/>
    <n v="0"/>
    <n v="5.6666666666569654"/>
    <x v="1"/>
  </r>
  <r>
    <d v="2026-02-23T01:00:00"/>
    <d v="2026-02-23T06:00:00"/>
    <s v="SELL"/>
    <m/>
    <n v="1.1833499999999999"/>
    <n v="1.1820999999999999"/>
    <s v="EMA"/>
    <n v="1.0000000000000001E-5"/>
    <n v="1"/>
    <n v="3.3E-4"/>
    <n v="2"/>
    <n v="1"/>
    <n v="0.20833333334303461"/>
    <x v="1"/>
  </r>
  <r>
    <d v="2026-02-26T03:00:00"/>
    <d v="2026-02-26T10:00:00"/>
    <s v="SELL"/>
    <m/>
    <n v="1.1827300000000001"/>
    <n v="1.1802699999999999"/>
    <s v="EMA"/>
    <n v="2.0000000000000002E-5"/>
    <n v="2"/>
    <n v="3.5E-4"/>
    <n v="5"/>
    <n v="1"/>
    <n v="0.29166666665696539"/>
    <x v="0"/>
  </r>
  <r>
    <d v="2026-03-02T08:00:00"/>
    <d v="2026-03-10T09:00:00"/>
    <s v="BUY"/>
    <n v="1.17323"/>
    <m/>
    <n v="1.1660900000000001"/>
    <s v="EMA"/>
    <n v="-6.9999999999999994E-5"/>
    <n v="-6.9999999999999991"/>
    <n v="2.7999999999999998E-4"/>
    <n v="2"/>
    <n v="0"/>
    <n v="8.0416666666569654"/>
    <x v="4"/>
  </r>
  <r>
    <d v="2026-03-12T01:00:00"/>
    <d v="2026-03-19T18:00:00"/>
    <s v="BUY"/>
    <n v="1.1542699999999999"/>
    <m/>
    <n v="1.1536200000000001"/>
    <s v="EMA"/>
    <n v="-1.0000000000000001E-5"/>
    <n v="-1"/>
    <n v="2.7E-4"/>
    <n v="5"/>
    <n v="0"/>
    <n v="7.7083333333430346"/>
    <x v="0"/>
  </r>
  <r>
    <d v="2026-03-19T19:00:00"/>
    <d v="2026-03-20T16:00:00"/>
    <s v="SELL"/>
    <m/>
    <n v="1.15604"/>
    <n v="1.1535"/>
    <s v="EMA"/>
    <n v="3.0000000000000001E-5"/>
    <n v="3"/>
    <n v="2.9999999999999997E-4"/>
    <n v="5"/>
    <n v="1"/>
    <n v="0.875"/>
    <x v="3"/>
  </r>
  <r>
    <d v="2026-03-23T12:00:00"/>
    <d v="2026-03-23T13:00:00"/>
    <s v="BUY"/>
    <n v="1.1485799999999999"/>
    <m/>
    <n v="1.1556599999999999"/>
    <s v="EMA"/>
    <n v="6.9999999999999994E-5"/>
    <n v="6.9999999999999991"/>
    <n v="3.6999999999999999E-4"/>
    <n v="2"/>
    <n v="1"/>
    <n v="4.166666665696539E-2"/>
    <x v="1"/>
  </r>
  <r>
    <d v="2026-03-30T01:00:00"/>
    <d v="2026-03-31T16:00:00"/>
    <s v="BUY"/>
    <n v="1.14886"/>
    <m/>
    <n v="1.15327"/>
    <s v="EMA"/>
    <n v="4.0000000000000003E-5"/>
    <n v="4"/>
    <n v="4.0999999999999999E-4"/>
    <n v="2"/>
    <n v="1"/>
    <n v="1.625"/>
    <x v="4"/>
  </r>
  <r>
    <d v="2026-03-31T16:00:00"/>
    <d v="2026-03-31T17:00:00"/>
    <s v="SELL"/>
    <m/>
    <n v="1.15327"/>
    <n v="1.15202"/>
    <s v="EMA"/>
    <n v="1.0000000000000001E-5"/>
    <n v="1"/>
    <n v="4.2000000000000002E-4"/>
    <n v="3"/>
    <n v="1"/>
    <n v="4.166666668606922E-2"/>
    <x v="4"/>
  </r>
  <r>
    <d v="2026-03-31T19:00:00"/>
    <d v="2026-04-02T06:00:00"/>
    <s v="SELL"/>
    <m/>
    <n v="1.15405"/>
    <n v="1.1539900000000001"/>
    <s v="EMA"/>
    <n v="0"/>
    <n v="0"/>
    <n v="4.2000000000000002E-4"/>
    <n v="3"/>
    <n v="0"/>
    <n v="1.4583333333430346"/>
    <x v="0"/>
  </r>
  <r>
    <d v="2026-04-06T10:00:00"/>
    <d v="2026-04-07T03:00:00"/>
    <s v="SELL"/>
    <m/>
    <n v="1.1564300000000001"/>
    <n v="1.1537599999999999"/>
    <s v="EMA"/>
    <n v="3.0000000000000001E-5"/>
    <n v="3"/>
    <n v="4.4999999999999999E-4"/>
    <n v="2"/>
    <n v="1"/>
    <n v="0.70833333334303461"/>
    <x v="4"/>
  </r>
  <r>
    <m/>
    <m/>
    <m/>
    <m/>
    <m/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8E080-D0A3-499B-9471-62184C219D8A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5:B32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0"/>
        <item x="2"/>
        <item x="3"/>
        <item x="1"/>
        <item x="4"/>
        <item x="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Profit" fld="7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F3FFB-2808-4EBD-8A41-77807E00BEA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3"/>
        <item x="1"/>
        <item x="4"/>
        <item x="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Fecha Entrada" fld="0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BE71B-7022-4064-B352-BF578ACB6D3C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:E9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3"/>
        <item x="1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uenta de Fecha Entrada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12628-6012-49CE-B453-F5BF40AE9683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2"/>
        <item x="0"/>
        <item x="3"/>
        <item x="5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Profit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46ED-805B-46C9-8288-1747A491A003}">
  <dimension ref="A3:B32"/>
  <sheetViews>
    <sheetView zoomScale="150" zoomScaleNormal="150" workbookViewId="0">
      <selection activeCell="B34" sqref="B34"/>
    </sheetView>
  </sheetViews>
  <sheetFormatPr baseColWidth="10" defaultRowHeight="14.5" x14ac:dyDescent="0.35"/>
  <cols>
    <col min="1" max="1" width="16.54296875" bestFit="1" customWidth="1"/>
    <col min="2" max="2" width="13.1796875" bestFit="1" customWidth="1"/>
    <col min="3" max="3" width="21.90625" bestFit="1" customWidth="1"/>
  </cols>
  <sheetData>
    <row r="3" spans="1:2" x14ac:dyDescent="0.35">
      <c r="A3" s="22" t="s">
        <v>25</v>
      </c>
      <c r="B3" t="s">
        <v>29</v>
      </c>
    </row>
    <row r="4" spans="1:2" x14ac:dyDescent="0.35">
      <c r="A4" s="23">
        <v>2</v>
      </c>
      <c r="B4">
        <v>34</v>
      </c>
    </row>
    <row r="5" spans="1:2" x14ac:dyDescent="0.35">
      <c r="A5" s="23">
        <v>3</v>
      </c>
      <c r="B5">
        <v>17</v>
      </c>
    </row>
    <row r="6" spans="1:2" x14ac:dyDescent="0.35">
      <c r="A6" s="23">
        <v>4</v>
      </c>
      <c r="B6">
        <v>24</v>
      </c>
    </row>
    <row r="7" spans="1:2" x14ac:dyDescent="0.35">
      <c r="A7" s="23">
        <v>5</v>
      </c>
      <c r="B7">
        <v>20</v>
      </c>
    </row>
    <row r="8" spans="1:2" x14ac:dyDescent="0.35">
      <c r="A8" s="23">
        <v>6</v>
      </c>
      <c r="B8">
        <v>11</v>
      </c>
    </row>
    <row r="9" spans="1:2" x14ac:dyDescent="0.35">
      <c r="A9" s="23" t="s">
        <v>26</v>
      </c>
    </row>
    <row r="10" spans="1:2" x14ac:dyDescent="0.35">
      <c r="A10" s="23" t="s">
        <v>27</v>
      </c>
      <c r="B10">
        <v>106</v>
      </c>
    </row>
    <row r="25" spans="1:2" x14ac:dyDescent="0.35">
      <c r="A25" s="22" t="s">
        <v>25</v>
      </c>
      <c r="B25" t="s">
        <v>28</v>
      </c>
    </row>
    <row r="26" spans="1:2" x14ac:dyDescent="0.35">
      <c r="A26" s="23">
        <v>2</v>
      </c>
      <c r="B26">
        <v>-7.0000000000000048E-5</v>
      </c>
    </row>
    <row r="27" spans="1:2" x14ac:dyDescent="0.35">
      <c r="A27" s="23">
        <v>3</v>
      </c>
      <c r="B27">
        <v>-1.0000000000000003E-4</v>
      </c>
    </row>
    <row r="28" spans="1:2" x14ac:dyDescent="0.35">
      <c r="A28" s="23">
        <v>4</v>
      </c>
      <c r="B28">
        <v>-3.7999999999999986E-4</v>
      </c>
    </row>
    <row r="29" spans="1:2" x14ac:dyDescent="0.35">
      <c r="A29" s="23">
        <v>5</v>
      </c>
      <c r="B29">
        <v>4.4000000000000002E-4</v>
      </c>
    </row>
    <row r="30" spans="1:2" x14ac:dyDescent="0.35">
      <c r="A30" s="23">
        <v>6</v>
      </c>
      <c r="B30">
        <v>5.6000000000000017E-4</v>
      </c>
    </row>
    <row r="31" spans="1:2" x14ac:dyDescent="0.35">
      <c r="A31" s="23" t="s">
        <v>26</v>
      </c>
    </row>
    <row r="32" spans="1:2" x14ac:dyDescent="0.35">
      <c r="A32" s="23" t="s">
        <v>27</v>
      </c>
      <c r="B32">
        <v>4.5000000000000026E-4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6ECC-29CD-4267-9D56-96DEA26EB442}">
  <dimension ref="A1:E9"/>
  <sheetViews>
    <sheetView workbookViewId="0">
      <selection activeCell="B50" sqref="B50"/>
    </sheetView>
  </sheetViews>
  <sheetFormatPr baseColWidth="10" defaultRowHeight="14.5" x14ac:dyDescent="0.35"/>
  <cols>
    <col min="1" max="1" width="21.90625" bestFit="1" customWidth="1"/>
    <col min="2" max="2" width="21.26953125" bestFit="1" customWidth="1"/>
    <col min="3" max="3" width="2.81640625" bestFit="1" customWidth="1"/>
    <col min="4" max="4" width="10.1796875" bestFit="1" customWidth="1"/>
    <col min="5" max="5" width="11.7265625" bestFit="1" customWidth="1"/>
  </cols>
  <sheetData>
    <row r="1" spans="1:5" x14ac:dyDescent="0.35">
      <c r="A1" s="22" t="s">
        <v>29</v>
      </c>
      <c r="B1" s="22" t="s">
        <v>32</v>
      </c>
    </row>
    <row r="2" spans="1:5" x14ac:dyDescent="0.35">
      <c r="A2" s="22" t="s">
        <v>25</v>
      </c>
      <c r="B2">
        <v>0</v>
      </c>
      <c r="C2">
        <v>1</v>
      </c>
      <c r="D2" t="s">
        <v>26</v>
      </c>
      <c r="E2" t="s">
        <v>27</v>
      </c>
    </row>
    <row r="3" spans="1:5" x14ac:dyDescent="0.35">
      <c r="A3" s="23">
        <v>2</v>
      </c>
      <c r="B3">
        <v>14</v>
      </c>
      <c r="C3">
        <v>20</v>
      </c>
      <c r="E3">
        <v>34</v>
      </c>
    </row>
    <row r="4" spans="1:5" x14ac:dyDescent="0.35">
      <c r="A4" s="23">
        <v>3</v>
      </c>
      <c r="B4">
        <v>4</v>
      </c>
      <c r="C4">
        <v>13</v>
      </c>
      <c r="E4">
        <v>17</v>
      </c>
    </row>
    <row r="5" spans="1:5" x14ac:dyDescent="0.35">
      <c r="A5" s="23">
        <v>4</v>
      </c>
      <c r="B5">
        <v>8</v>
      </c>
      <c r="C5">
        <v>16</v>
      </c>
      <c r="E5">
        <v>24</v>
      </c>
    </row>
    <row r="6" spans="1:5" x14ac:dyDescent="0.35">
      <c r="A6" s="23">
        <v>5</v>
      </c>
      <c r="B6">
        <v>6</v>
      </c>
      <c r="C6">
        <v>14</v>
      </c>
      <c r="E6">
        <v>20</v>
      </c>
    </row>
    <row r="7" spans="1:5" x14ac:dyDescent="0.35">
      <c r="A7" s="23">
        <v>6</v>
      </c>
      <c r="C7">
        <v>11</v>
      </c>
      <c r="E7">
        <v>11</v>
      </c>
    </row>
    <row r="8" spans="1:5" x14ac:dyDescent="0.35">
      <c r="A8" s="23" t="s">
        <v>26</v>
      </c>
    </row>
    <row r="9" spans="1:5" x14ac:dyDescent="0.35">
      <c r="A9" s="23" t="s">
        <v>27</v>
      </c>
      <c r="B9">
        <v>32</v>
      </c>
      <c r="C9">
        <v>74</v>
      </c>
      <c r="E9">
        <v>106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8A57-DEEF-4F9F-83BB-FD52FDDEF6F8}">
  <dimension ref="A3:B10"/>
  <sheetViews>
    <sheetView tabSelected="1" workbookViewId="0">
      <selection activeCell="E42" sqref="E42"/>
    </sheetView>
  </sheetViews>
  <sheetFormatPr baseColWidth="10" defaultRowHeight="14.5" x14ac:dyDescent="0.35"/>
  <cols>
    <col min="1" max="1" width="16.54296875" bestFit="1" customWidth="1"/>
    <col min="2" max="2" width="13.1796875" bestFit="1" customWidth="1"/>
  </cols>
  <sheetData>
    <row r="3" spans="1:2" x14ac:dyDescent="0.35">
      <c r="A3" s="22" t="s">
        <v>25</v>
      </c>
      <c r="B3" t="s">
        <v>28</v>
      </c>
    </row>
    <row r="4" spans="1:2" x14ac:dyDescent="0.35">
      <c r="A4" s="23">
        <v>2</v>
      </c>
      <c r="B4">
        <v>5.6999999999999998E-4</v>
      </c>
    </row>
    <row r="5" spans="1:2" x14ac:dyDescent="0.35">
      <c r="A5" s="23">
        <v>3</v>
      </c>
      <c r="B5">
        <v>5.0000000000000001E-4</v>
      </c>
    </row>
    <row r="6" spans="1:2" x14ac:dyDescent="0.35">
      <c r="A6" s="23">
        <v>4</v>
      </c>
      <c r="B6">
        <v>5.0000000000000002E-5</v>
      </c>
    </row>
    <row r="7" spans="1:2" x14ac:dyDescent="0.35">
      <c r="A7" s="23">
        <v>5</v>
      </c>
      <c r="B7">
        <v>-1.0000000000000005E-4</v>
      </c>
    </row>
    <row r="8" spans="1:2" x14ac:dyDescent="0.35">
      <c r="A8" s="23">
        <v>6</v>
      </c>
      <c r="B8">
        <v>-5.7000000000000009E-4</v>
      </c>
    </row>
    <row r="9" spans="1:2" x14ac:dyDescent="0.35">
      <c r="A9" s="23" t="s">
        <v>26</v>
      </c>
    </row>
    <row r="10" spans="1:2" x14ac:dyDescent="0.35">
      <c r="A10" s="23" t="s">
        <v>27</v>
      </c>
      <c r="B10">
        <v>4.4999999999999977E-4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"/>
  <sheetViews>
    <sheetView zoomScale="140" zoomScaleNormal="140" workbookViewId="0">
      <pane ySplit="1" topLeftCell="A2" activePane="bottomLeft" state="frozen"/>
      <selection pane="bottomLeft" activeCell="I10" sqref="I10"/>
    </sheetView>
  </sheetViews>
  <sheetFormatPr baseColWidth="10" defaultColWidth="8.7265625" defaultRowHeight="14.5" x14ac:dyDescent="0.35"/>
  <cols>
    <col min="1" max="2" width="20" customWidth="1"/>
    <col min="3" max="3" width="8" customWidth="1"/>
    <col min="4" max="7" width="14" customWidth="1"/>
    <col min="8" max="9" width="12" customWidth="1"/>
    <col min="10" max="10" width="16" customWidth="1"/>
    <col min="11" max="11" width="12.08984375" customWidth="1"/>
    <col min="13" max="13" width="12.81640625" bestFit="1" customWidth="1"/>
    <col min="14" max="14" width="9.54296875" bestFit="1" customWidth="1"/>
  </cols>
  <sheetData>
    <row r="1" spans="1:14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</v>
      </c>
      <c r="J1" s="1" t="s">
        <v>8</v>
      </c>
      <c r="K1" s="21" t="s">
        <v>24</v>
      </c>
      <c r="L1" s="21" t="s">
        <v>30</v>
      </c>
      <c r="M1" s="21" t="s">
        <v>33</v>
      </c>
      <c r="N1" s="21" t="s">
        <v>34</v>
      </c>
    </row>
    <row r="2" spans="1:14" x14ac:dyDescent="0.35">
      <c r="A2" s="2">
        <v>45544.416666666657</v>
      </c>
      <c r="B2" s="2">
        <v>45547.875</v>
      </c>
      <c r="C2" s="3" t="s">
        <v>9</v>
      </c>
      <c r="D2" s="4">
        <v>1.10592</v>
      </c>
      <c r="E2" s="4"/>
      <c r="F2" s="4">
        <v>1.10608</v>
      </c>
      <c r="G2" s="4" t="s">
        <v>10</v>
      </c>
      <c r="H2" s="5">
        <v>0</v>
      </c>
      <c r="I2" s="4">
        <f>H2*100000</f>
        <v>0</v>
      </c>
      <c r="J2" s="6">
        <v>0</v>
      </c>
      <c r="K2" s="4">
        <f>WEEKDAY(A2)</f>
        <v>2</v>
      </c>
      <c r="L2" s="4">
        <f>IF(H2&gt;0,1,0)</f>
        <v>0</v>
      </c>
      <c r="M2" s="4">
        <f>B2-A2</f>
        <v>3.4583333333430346</v>
      </c>
      <c r="N2" s="4">
        <f>WEEKDAY(B2)</f>
        <v>5</v>
      </c>
    </row>
    <row r="3" spans="1:14" x14ac:dyDescent="0.35">
      <c r="A3" s="7">
        <v>45547.875</v>
      </c>
      <c r="B3" s="7">
        <v>45554.125</v>
      </c>
      <c r="C3" s="8" t="s">
        <v>11</v>
      </c>
      <c r="D3" s="9"/>
      <c r="E3" s="9">
        <v>1.10608</v>
      </c>
      <c r="F3" s="9">
        <v>1.1081700000000001</v>
      </c>
      <c r="G3" s="9" t="s">
        <v>10</v>
      </c>
      <c r="H3" s="8">
        <v>-2.0000000000000002E-5</v>
      </c>
      <c r="I3" s="9">
        <f t="shared" ref="I3:I66" si="0">H3*100000</f>
        <v>-2</v>
      </c>
      <c r="J3" s="10">
        <v>-2.0000000000000002E-5</v>
      </c>
      <c r="K3" s="9">
        <f t="shared" ref="K3:K66" si="1">WEEKDAY(A3)</f>
        <v>5</v>
      </c>
      <c r="L3" s="9">
        <f t="shared" ref="L3:L66" si="2">IF(H3&gt;0,1,0)</f>
        <v>0</v>
      </c>
      <c r="M3" s="9">
        <f t="shared" ref="M3:M66" si="3">B3-A3</f>
        <v>6.25</v>
      </c>
      <c r="N3" s="9">
        <f t="shared" ref="N3:N66" si="4">WEEKDAY(B3)</f>
        <v>5</v>
      </c>
    </row>
    <row r="4" spans="1:14" x14ac:dyDescent="0.35">
      <c r="A4" s="2">
        <v>45558.416666666657</v>
      </c>
      <c r="B4" s="2">
        <v>45558.583333333343</v>
      </c>
      <c r="C4" s="3" t="s">
        <v>9</v>
      </c>
      <c r="D4" s="4">
        <v>1.11015</v>
      </c>
      <c r="E4" s="4"/>
      <c r="F4" s="4">
        <v>1.11198</v>
      </c>
      <c r="G4" s="4" t="s">
        <v>10</v>
      </c>
      <c r="H4" s="5">
        <v>2.0000000000000002E-5</v>
      </c>
      <c r="I4" s="4">
        <f t="shared" si="0"/>
        <v>2</v>
      </c>
      <c r="J4" s="6">
        <v>0</v>
      </c>
      <c r="K4" s="4">
        <f t="shared" si="1"/>
        <v>2</v>
      </c>
      <c r="L4" s="4">
        <f t="shared" si="2"/>
        <v>1</v>
      </c>
      <c r="M4" s="4">
        <f t="shared" si="3"/>
        <v>0.16666666668606922</v>
      </c>
      <c r="N4" s="4">
        <f t="shared" si="4"/>
        <v>2</v>
      </c>
    </row>
    <row r="5" spans="1:14" x14ac:dyDescent="0.35">
      <c r="A5" s="7">
        <v>45559.875</v>
      </c>
      <c r="B5" s="7">
        <v>45560.916666666657</v>
      </c>
      <c r="C5" s="8" t="s">
        <v>11</v>
      </c>
      <c r="D5" s="9"/>
      <c r="E5" s="9">
        <v>1.11663</v>
      </c>
      <c r="F5" s="9">
        <v>1.11259</v>
      </c>
      <c r="G5" s="9" t="s">
        <v>10</v>
      </c>
      <c r="H5" s="11">
        <v>4.0000000000000003E-5</v>
      </c>
      <c r="I5" s="9">
        <f t="shared" si="0"/>
        <v>4</v>
      </c>
      <c r="J5" s="12">
        <v>4.0000000000000003E-5</v>
      </c>
      <c r="K5" s="9">
        <f t="shared" si="1"/>
        <v>3</v>
      </c>
      <c r="L5" s="9">
        <f t="shared" si="2"/>
        <v>1</v>
      </c>
      <c r="M5" s="9">
        <f t="shared" si="3"/>
        <v>1.0416666666569654</v>
      </c>
      <c r="N5" s="9">
        <f t="shared" si="4"/>
        <v>4</v>
      </c>
    </row>
    <row r="6" spans="1:14" x14ac:dyDescent="0.35">
      <c r="A6" s="2">
        <v>45560.916666666657</v>
      </c>
      <c r="B6" s="2">
        <v>45561.125</v>
      </c>
      <c r="C6" s="3" t="s">
        <v>9</v>
      </c>
      <c r="D6" s="4">
        <v>1.11259</v>
      </c>
      <c r="E6" s="4"/>
      <c r="F6" s="4">
        <v>1.11365</v>
      </c>
      <c r="G6" s="4" t="s">
        <v>10</v>
      </c>
      <c r="H6" s="5">
        <v>1.0000000000000001E-5</v>
      </c>
      <c r="I6" s="4">
        <f t="shared" si="0"/>
        <v>1</v>
      </c>
      <c r="J6" s="6">
        <v>5.0000000000000002E-5</v>
      </c>
      <c r="K6" s="4">
        <f t="shared" si="1"/>
        <v>4</v>
      </c>
      <c r="L6" s="4">
        <f t="shared" si="2"/>
        <v>1</v>
      </c>
      <c r="M6" s="4">
        <f t="shared" si="3"/>
        <v>0.20833333334303461</v>
      </c>
      <c r="N6" s="4">
        <f t="shared" si="4"/>
        <v>5</v>
      </c>
    </row>
    <row r="7" spans="1:14" x14ac:dyDescent="0.35">
      <c r="A7" s="7">
        <v>45566.458333333343</v>
      </c>
      <c r="B7" s="7">
        <v>45595.416666666657</v>
      </c>
      <c r="C7" s="13" t="s">
        <v>9</v>
      </c>
      <c r="D7" s="9">
        <v>1.1102700000000001</v>
      </c>
      <c r="E7" s="9"/>
      <c r="F7" s="9">
        <v>1.08344</v>
      </c>
      <c r="G7" s="9" t="s">
        <v>10</v>
      </c>
      <c r="H7" s="8">
        <v>-2.7E-4</v>
      </c>
      <c r="I7" s="9">
        <f t="shared" si="0"/>
        <v>-27</v>
      </c>
      <c r="J7" s="10">
        <v>-2.2000000000000001E-4</v>
      </c>
      <c r="K7" s="9">
        <f t="shared" si="1"/>
        <v>3</v>
      </c>
      <c r="L7" s="9">
        <f t="shared" si="2"/>
        <v>0</v>
      </c>
      <c r="M7" s="9">
        <f t="shared" si="3"/>
        <v>28.958333333313931</v>
      </c>
      <c r="N7" s="9">
        <f t="shared" si="4"/>
        <v>4</v>
      </c>
    </row>
    <row r="8" spans="1:14" x14ac:dyDescent="0.35">
      <c r="A8" s="2">
        <v>45596.583333333343</v>
      </c>
      <c r="B8" s="2">
        <v>45597.791666666657</v>
      </c>
      <c r="C8" s="14" t="s">
        <v>11</v>
      </c>
      <c r="D8" s="4"/>
      <c r="E8" s="4">
        <v>1.0879700000000001</v>
      </c>
      <c r="F8" s="4">
        <v>1.08361</v>
      </c>
      <c r="G8" s="4" t="s">
        <v>10</v>
      </c>
      <c r="H8" s="5">
        <v>4.0000000000000003E-5</v>
      </c>
      <c r="I8" s="4">
        <f t="shared" si="0"/>
        <v>4</v>
      </c>
      <c r="J8" s="15">
        <v>-1.8000000000000001E-4</v>
      </c>
      <c r="K8" s="4">
        <f t="shared" si="1"/>
        <v>5</v>
      </c>
      <c r="L8" s="4">
        <f t="shared" si="2"/>
        <v>1</v>
      </c>
      <c r="M8" s="4">
        <f t="shared" si="3"/>
        <v>1.2083333333139308</v>
      </c>
      <c r="N8" s="4">
        <f t="shared" si="4"/>
        <v>6</v>
      </c>
    </row>
    <row r="9" spans="1:14" x14ac:dyDescent="0.35">
      <c r="A9" s="7">
        <v>45601.75</v>
      </c>
      <c r="B9" s="7">
        <v>45602.083333333343</v>
      </c>
      <c r="C9" s="8" t="s">
        <v>11</v>
      </c>
      <c r="D9" s="9"/>
      <c r="E9" s="9">
        <v>1.09199</v>
      </c>
      <c r="F9" s="9">
        <v>1.0836399999999999</v>
      </c>
      <c r="G9" s="9" t="s">
        <v>10</v>
      </c>
      <c r="H9" s="11">
        <v>8.0000000000000007E-5</v>
      </c>
      <c r="I9" s="9">
        <f t="shared" si="0"/>
        <v>8</v>
      </c>
      <c r="J9" s="10">
        <v>-1E-4</v>
      </c>
      <c r="K9" s="9">
        <f t="shared" si="1"/>
        <v>3</v>
      </c>
      <c r="L9" s="9">
        <f t="shared" si="2"/>
        <v>1</v>
      </c>
      <c r="M9" s="9">
        <f t="shared" si="3"/>
        <v>0.33333333334303461</v>
      </c>
      <c r="N9" s="9">
        <f t="shared" si="4"/>
        <v>4</v>
      </c>
    </row>
    <row r="10" spans="1:14" x14ac:dyDescent="0.35">
      <c r="A10" s="2">
        <v>45602.083333333343</v>
      </c>
      <c r="B10" s="2">
        <v>45623.5</v>
      </c>
      <c r="C10" s="3" t="s">
        <v>9</v>
      </c>
      <c r="D10" s="4">
        <v>1.0836399999999999</v>
      </c>
      <c r="E10" s="4"/>
      <c r="F10" s="4">
        <v>1.05277</v>
      </c>
      <c r="G10" s="4" t="s">
        <v>10</v>
      </c>
      <c r="H10" s="14">
        <v>-3.1E-4</v>
      </c>
      <c r="I10" s="4">
        <f t="shared" si="0"/>
        <v>-31</v>
      </c>
      <c r="J10" s="15">
        <v>-4.0999999999999999E-4</v>
      </c>
      <c r="K10" s="4">
        <f t="shared" si="1"/>
        <v>4</v>
      </c>
      <c r="L10" s="4">
        <f t="shared" si="2"/>
        <v>0</v>
      </c>
      <c r="M10" s="4">
        <f t="shared" si="3"/>
        <v>21.416666666656965</v>
      </c>
      <c r="N10" s="4">
        <f t="shared" si="4"/>
        <v>4</v>
      </c>
    </row>
    <row r="11" spans="1:14" x14ac:dyDescent="0.35">
      <c r="A11" s="7">
        <v>45623.625</v>
      </c>
      <c r="B11" s="7">
        <v>45628.083333333343</v>
      </c>
      <c r="C11" s="8" t="s">
        <v>11</v>
      </c>
      <c r="D11" s="9"/>
      <c r="E11" s="9">
        <v>1.0572699999999999</v>
      </c>
      <c r="F11" s="9">
        <v>1.0536300000000001</v>
      </c>
      <c r="G11" s="9" t="s">
        <v>10</v>
      </c>
      <c r="H11" s="11">
        <v>4.0000000000000003E-5</v>
      </c>
      <c r="I11" s="9">
        <f t="shared" si="0"/>
        <v>4</v>
      </c>
      <c r="J11" s="10">
        <v>-3.6999999999999999E-4</v>
      </c>
      <c r="K11" s="9">
        <f t="shared" si="1"/>
        <v>4</v>
      </c>
      <c r="L11" s="9">
        <f t="shared" si="2"/>
        <v>1</v>
      </c>
      <c r="M11" s="9">
        <f t="shared" si="3"/>
        <v>4.4583333333430346</v>
      </c>
      <c r="N11" s="9">
        <f t="shared" si="4"/>
        <v>2</v>
      </c>
    </row>
    <row r="12" spans="1:14" x14ac:dyDescent="0.35">
      <c r="A12" s="2">
        <v>45628.666666666657</v>
      </c>
      <c r="B12" s="2">
        <v>45630.708333333343</v>
      </c>
      <c r="C12" s="3" t="s">
        <v>9</v>
      </c>
      <c r="D12" s="4">
        <v>1.04738</v>
      </c>
      <c r="E12" s="4"/>
      <c r="F12" s="4">
        <v>1.0529500000000001</v>
      </c>
      <c r="G12" s="4" t="s">
        <v>10</v>
      </c>
      <c r="H12" s="5">
        <v>6.0000000000000002E-5</v>
      </c>
      <c r="I12" s="4">
        <f t="shared" si="0"/>
        <v>6</v>
      </c>
      <c r="J12" s="15">
        <v>-3.1E-4</v>
      </c>
      <c r="K12" s="4">
        <f t="shared" si="1"/>
        <v>2</v>
      </c>
      <c r="L12" s="4">
        <f t="shared" si="2"/>
        <v>1</v>
      </c>
      <c r="M12" s="4">
        <f t="shared" si="3"/>
        <v>2.0416666666860692</v>
      </c>
      <c r="N12" s="4">
        <f t="shared" si="4"/>
        <v>4</v>
      </c>
    </row>
    <row r="13" spans="1:14" x14ac:dyDescent="0.35">
      <c r="A13" s="7">
        <v>45631.625</v>
      </c>
      <c r="B13" s="7">
        <v>45635.208333333343</v>
      </c>
      <c r="C13" s="8" t="s">
        <v>11</v>
      </c>
      <c r="D13" s="9"/>
      <c r="E13" s="9">
        <v>1.0567</v>
      </c>
      <c r="F13" s="9">
        <v>1.0537399999999999</v>
      </c>
      <c r="G13" s="9" t="s">
        <v>10</v>
      </c>
      <c r="H13" s="11">
        <v>3.0000000000000001E-5</v>
      </c>
      <c r="I13" s="9">
        <f t="shared" si="0"/>
        <v>3</v>
      </c>
      <c r="J13" s="10">
        <v>-2.7999999999999998E-4</v>
      </c>
      <c r="K13" s="9">
        <f t="shared" si="1"/>
        <v>5</v>
      </c>
      <c r="L13" s="9">
        <f t="shared" si="2"/>
        <v>1</v>
      </c>
      <c r="M13" s="9">
        <f t="shared" si="3"/>
        <v>3.5833333333430346</v>
      </c>
      <c r="N13" s="9">
        <f t="shared" si="4"/>
        <v>2</v>
      </c>
    </row>
    <row r="14" spans="1:14" x14ac:dyDescent="0.35">
      <c r="A14" s="2">
        <v>45636.708333333343</v>
      </c>
      <c r="B14" s="2">
        <v>45642.125</v>
      </c>
      <c r="C14" s="3" t="s">
        <v>9</v>
      </c>
      <c r="D14" s="4">
        <v>1.0503899999999999</v>
      </c>
      <c r="E14" s="4"/>
      <c r="F14" s="4">
        <v>1.0519000000000001</v>
      </c>
      <c r="G14" s="4" t="s">
        <v>10</v>
      </c>
      <c r="H14" s="5">
        <v>2.0000000000000002E-5</v>
      </c>
      <c r="I14" s="4">
        <f t="shared" si="0"/>
        <v>2</v>
      </c>
      <c r="J14" s="15">
        <v>-2.5999999999999998E-4</v>
      </c>
      <c r="K14" s="4">
        <f t="shared" si="1"/>
        <v>3</v>
      </c>
      <c r="L14" s="4">
        <f t="shared" si="2"/>
        <v>1</v>
      </c>
      <c r="M14" s="4">
        <f t="shared" si="3"/>
        <v>5.4166666666569654</v>
      </c>
      <c r="N14" s="4">
        <f t="shared" si="4"/>
        <v>2</v>
      </c>
    </row>
    <row r="15" spans="1:14" x14ac:dyDescent="0.35">
      <c r="A15" s="7">
        <v>45644.875</v>
      </c>
      <c r="B15" s="7">
        <v>45653.541666666657</v>
      </c>
      <c r="C15" s="13" t="s">
        <v>9</v>
      </c>
      <c r="D15" s="9">
        <v>1.0377700000000001</v>
      </c>
      <c r="E15" s="9"/>
      <c r="F15" s="9">
        <v>1.0438799999999999</v>
      </c>
      <c r="G15" s="9" t="s">
        <v>10</v>
      </c>
      <c r="H15" s="11">
        <v>6.0000000000000002E-5</v>
      </c>
      <c r="I15" s="9">
        <f t="shared" si="0"/>
        <v>6</v>
      </c>
      <c r="J15" s="10">
        <v>-2.0000000000000001E-4</v>
      </c>
      <c r="K15" s="9">
        <f t="shared" si="1"/>
        <v>4</v>
      </c>
      <c r="L15" s="9">
        <f t="shared" si="2"/>
        <v>1</v>
      </c>
      <c r="M15" s="9">
        <f t="shared" si="3"/>
        <v>8.6666666666569654</v>
      </c>
      <c r="N15" s="9">
        <f t="shared" si="4"/>
        <v>6</v>
      </c>
    </row>
    <row r="16" spans="1:14" x14ac:dyDescent="0.35">
      <c r="A16" s="2">
        <v>45657.708333333343</v>
      </c>
      <c r="B16" s="2">
        <v>45663.541666666657</v>
      </c>
      <c r="C16" s="3" t="s">
        <v>9</v>
      </c>
      <c r="D16" s="4">
        <v>1.03548</v>
      </c>
      <c r="E16" s="4"/>
      <c r="F16" s="4">
        <v>1.0421800000000001</v>
      </c>
      <c r="G16" s="4" t="s">
        <v>10</v>
      </c>
      <c r="H16" s="5">
        <v>6.9999999999999994E-5</v>
      </c>
      <c r="I16" s="4">
        <f t="shared" si="0"/>
        <v>6.9999999999999991</v>
      </c>
      <c r="J16" s="15">
        <v>-1.2999999999999999E-4</v>
      </c>
      <c r="K16" s="4">
        <f t="shared" si="1"/>
        <v>3</v>
      </c>
      <c r="L16" s="4">
        <f t="shared" si="2"/>
        <v>1</v>
      </c>
      <c r="M16" s="4">
        <f t="shared" si="3"/>
        <v>5.8333333333139308</v>
      </c>
      <c r="N16" s="4">
        <f t="shared" si="4"/>
        <v>2</v>
      </c>
    </row>
    <row r="17" spans="1:14" x14ac:dyDescent="0.35">
      <c r="A17" s="7">
        <v>45663.541666666657</v>
      </c>
      <c r="B17" s="7">
        <v>45664.708333333343</v>
      </c>
      <c r="C17" s="8" t="s">
        <v>11</v>
      </c>
      <c r="D17" s="9"/>
      <c r="E17" s="9">
        <v>1.0421800000000001</v>
      </c>
      <c r="F17" s="9">
        <v>1.03729</v>
      </c>
      <c r="G17" s="9" t="s">
        <v>10</v>
      </c>
      <c r="H17" s="11">
        <v>5.0000000000000002E-5</v>
      </c>
      <c r="I17" s="9">
        <f t="shared" si="0"/>
        <v>5</v>
      </c>
      <c r="J17" s="10">
        <v>-8.0000000000000007E-5</v>
      </c>
      <c r="K17" s="9">
        <f t="shared" si="1"/>
        <v>2</v>
      </c>
      <c r="L17" s="9">
        <f t="shared" si="2"/>
        <v>1</v>
      </c>
      <c r="M17" s="9">
        <f t="shared" si="3"/>
        <v>1.1666666666860692</v>
      </c>
      <c r="N17" s="9">
        <f t="shared" si="4"/>
        <v>3</v>
      </c>
    </row>
    <row r="18" spans="1:14" x14ac:dyDescent="0.35">
      <c r="A18" s="2">
        <v>45665.416666666657</v>
      </c>
      <c r="B18" s="2">
        <v>45671.958333333343</v>
      </c>
      <c r="C18" s="3" t="s">
        <v>9</v>
      </c>
      <c r="D18" s="4">
        <v>1.0318799999999999</v>
      </c>
      <c r="E18" s="4"/>
      <c r="F18" s="4">
        <v>1.0307599999999999</v>
      </c>
      <c r="G18" s="4" t="s">
        <v>10</v>
      </c>
      <c r="H18" s="14">
        <v>-1.0000000000000001E-5</v>
      </c>
      <c r="I18" s="4">
        <f t="shared" si="0"/>
        <v>-1</v>
      </c>
      <c r="J18" s="15">
        <v>-9.0000000000000006E-5</v>
      </c>
      <c r="K18" s="4">
        <f t="shared" si="1"/>
        <v>4</v>
      </c>
      <c r="L18" s="4">
        <f t="shared" si="2"/>
        <v>0</v>
      </c>
      <c r="M18" s="4">
        <f t="shared" si="3"/>
        <v>6.5416666666860692</v>
      </c>
      <c r="N18" s="4">
        <f t="shared" si="4"/>
        <v>3</v>
      </c>
    </row>
    <row r="19" spans="1:14" x14ac:dyDescent="0.35">
      <c r="A19" s="7">
        <v>45671.958333333343</v>
      </c>
      <c r="B19" s="7">
        <v>45672.083333333343</v>
      </c>
      <c r="C19" s="8" t="s">
        <v>11</v>
      </c>
      <c r="D19" s="9"/>
      <c r="E19" s="9">
        <v>1.0307599999999999</v>
      </c>
      <c r="F19" s="9">
        <v>1.0301400000000001</v>
      </c>
      <c r="G19" s="9" t="s">
        <v>10</v>
      </c>
      <c r="H19" s="11">
        <v>1.0000000000000001E-5</v>
      </c>
      <c r="I19" s="9">
        <f t="shared" si="0"/>
        <v>1</v>
      </c>
      <c r="J19" s="10">
        <v>-8.0000000000000007E-5</v>
      </c>
      <c r="K19" s="9">
        <f t="shared" si="1"/>
        <v>3</v>
      </c>
      <c r="L19" s="9">
        <f t="shared" si="2"/>
        <v>1</v>
      </c>
      <c r="M19" s="9">
        <f t="shared" si="3"/>
        <v>0.125</v>
      </c>
      <c r="N19" s="9">
        <f t="shared" si="4"/>
        <v>4</v>
      </c>
    </row>
    <row r="20" spans="1:14" x14ac:dyDescent="0.35">
      <c r="A20" s="2">
        <v>45672.625</v>
      </c>
      <c r="B20" s="2">
        <v>45672.75</v>
      </c>
      <c r="C20" s="14" t="s">
        <v>11</v>
      </c>
      <c r="D20" s="4"/>
      <c r="E20" s="4">
        <v>1.0344599999999999</v>
      </c>
      <c r="F20" s="4">
        <v>1.0281199999999999</v>
      </c>
      <c r="G20" s="4" t="s">
        <v>10</v>
      </c>
      <c r="H20" s="5">
        <v>6.0000000000000002E-5</v>
      </c>
      <c r="I20" s="4">
        <f t="shared" si="0"/>
        <v>6</v>
      </c>
      <c r="J20" s="15">
        <v>-2.0000000000000002E-5</v>
      </c>
      <c r="K20" s="4">
        <f t="shared" si="1"/>
        <v>4</v>
      </c>
      <c r="L20" s="4">
        <f t="shared" si="2"/>
        <v>1</v>
      </c>
      <c r="M20" s="4">
        <f t="shared" si="3"/>
        <v>0.125</v>
      </c>
      <c r="N20" s="4">
        <f t="shared" si="4"/>
        <v>4</v>
      </c>
    </row>
    <row r="21" spans="1:14" x14ac:dyDescent="0.35">
      <c r="A21" s="7">
        <v>45677.625</v>
      </c>
      <c r="B21" s="7">
        <v>45686.458333333343</v>
      </c>
      <c r="C21" s="8" t="s">
        <v>11</v>
      </c>
      <c r="D21" s="9"/>
      <c r="E21" s="9">
        <v>1.0398099999999999</v>
      </c>
      <c r="F21" s="9">
        <v>1.0403899999999999</v>
      </c>
      <c r="G21" s="9" t="s">
        <v>10</v>
      </c>
      <c r="H21" s="8">
        <v>-1.0000000000000001E-5</v>
      </c>
      <c r="I21" s="9">
        <f t="shared" si="0"/>
        <v>-1</v>
      </c>
      <c r="J21" s="10">
        <v>-3.0000000000000001E-5</v>
      </c>
      <c r="K21" s="9">
        <f t="shared" si="1"/>
        <v>2</v>
      </c>
      <c r="L21" s="9">
        <f t="shared" si="2"/>
        <v>0</v>
      </c>
      <c r="M21" s="9">
        <f t="shared" si="3"/>
        <v>8.8333333333430346</v>
      </c>
      <c r="N21" s="9">
        <f t="shared" si="4"/>
        <v>4</v>
      </c>
    </row>
    <row r="22" spans="1:14" x14ac:dyDescent="0.35">
      <c r="A22" s="2">
        <v>45686.625</v>
      </c>
      <c r="B22" s="2">
        <v>45686.708333333343</v>
      </c>
      <c r="C22" s="3" t="s">
        <v>9</v>
      </c>
      <c r="D22" s="4">
        <v>1.03877</v>
      </c>
      <c r="E22" s="4"/>
      <c r="F22" s="4">
        <v>1.0419499999999999</v>
      </c>
      <c r="G22" s="4" t="s">
        <v>10</v>
      </c>
      <c r="H22" s="5">
        <v>3.0000000000000001E-5</v>
      </c>
      <c r="I22" s="4">
        <f t="shared" si="0"/>
        <v>3</v>
      </c>
      <c r="J22" s="6">
        <v>0</v>
      </c>
      <c r="K22" s="4">
        <f t="shared" si="1"/>
        <v>4</v>
      </c>
      <c r="L22" s="4">
        <f t="shared" si="2"/>
        <v>1</v>
      </c>
      <c r="M22" s="4">
        <f t="shared" si="3"/>
        <v>8.333333334303461E-2</v>
      </c>
      <c r="N22" s="4">
        <f t="shared" si="4"/>
        <v>4</v>
      </c>
    </row>
    <row r="23" spans="1:14" x14ac:dyDescent="0.35">
      <c r="A23" s="7">
        <v>45691</v>
      </c>
      <c r="B23" s="7">
        <v>45692.708333333343</v>
      </c>
      <c r="C23" s="13" t="s">
        <v>9</v>
      </c>
      <c r="D23" s="9">
        <v>1.02502</v>
      </c>
      <c r="E23" s="9"/>
      <c r="F23" s="9">
        <v>1.03803</v>
      </c>
      <c r="G23" s="9" t="s">
        <v>10</v>
      </c>
      <c r="H23" s="11">
        <v>1.2999999999999999E-4</v>
      </c>
      <c r="I23" s="9">
        <f t="shared" si="0"/>
        <v>12.999999999999998</v>
      </c>
      <c r="J23" s="12">
        <v>1.2999999999999999E-4</v>
      </c>
      <c r="K23" s="9">
        <f t="shared" si="1"/>
        <v>2</v>
      </c>
      <c r="L23" s="9">
        <f t="shared" si="2"/>
        <v>1</v>
      </c>
      <c r="M23" s="9">
        <f t="shared" si="3"/>
        <v>1.7083333333430346</v>
      </c>
      <c r="N23" s="9">
        <f t="shared" si="4"/>
        <v>3</v>
      </c>
    </row>
    <row r="24" spans="1:14" x14ac:dyDescent="0.35">
      <c r="A24" s="2">
        <v>45693.5</v>
      </c>
      <c r="B24" s="2">
        <v>45694.416666666657</v>
      </c>
      <c r="C24" s="14" t="s">
        <v>11</v>
      </c>
      <c r="D24" s="4"/>
      <c r="E24" s="4">
        <v>1.0425199999999999</v>
      </c>
      <c r="F24" s="4">
        <v>1.0365</v>
      </c>
      <c r="G24" s="4" t="s">
        <v>10</v>
      </c>
      <c r="H24" s="5">
        <v>6.0000000000000002E-5</v>
      </c>
      <c r="I24" s="4">
        <f t="shared" si="0"/>
        <v>6</v>
      </c>
      <c r="J24" s="6">
        <v>1.9000000000000001E-4</v>
      </c>
      <c r="K24" s="4">
        <f t="shared" si="1"/>
        <v>4</v>
      </c>
      <c r="L24" s="4">
        <f t="shared" si="2"/>
        <v>1</v>
      </c>
      <c r="M24" s="4">
        <f t="shared" si="3"/>
        <v>0.91666666665696539</v>
      </c>
      <c r="N24" s="4">
        <f t="shared" si="4"/>
        <v>5</v>
      </c>
    </row>
    <row r="25" spans="1:14" x14ac:dyDescent="0.35">
      <c r="A25" s="7">
        <v>45698</v>
      </c>
      <c r="B25" s="7">
        <v>45699.875</v>
      </c>
      <c r="C25" s="13" t="s">
        <v>9</v>
      </c>
      <c r="D25" s="9">
        <v>1.0289600000000001</v>
      </c>
      <c r="E25" s="9"/>
      <c r="F25" s="9">
        <v>1.0358099999999999</v>
      </c>
      <c r="G25" s="9" t="s">
        <v>10</v>
      </c>
      <c r="H25" s="11">
        <v>6.9999999999999994E-5</v>
      </c>
      <c r="I25" s="9">
        <f t="shared" si="0"/>
        <v>6.9999999999999991</v>
      </c>
      <c r="J25" s="12">
        <v>2.5999999999999998E-4</v>
      </c>
      <c r="K25" s="9">
        <f t="shared" si="1"/>
        <v>2</v>
      </c>
      <c r="L25" s="9">
        <f t="shared" si="2"/>
        <v>1</v>
      </c>
      <c r="M25" s="9">
        <f t="shared" si="3"/>
        <v>1.875</v>
      </c>
      <c r="N25" s="9">
        <f t="shared" si="4"/>
        <v>3</v>
      </c>
    </row>
    <row r="26" spans="1:14" x14ac:dyDescent="0.35">
      <c r="A26" s="2">
        <v>45699.875</v>
      </c>
      <c r="B26" s="2">
        <v>45700.625</v>
      </c>
      <c r="C26" s="14" t="s">
        <v>11</v>
      </c>
      <c r="D26" s="4"/>
      <c r="E26" s="4">
        <v>1.0358099999999999</v>
      </c>
      <c r="F26" s="4">
        <v>1.0333399999999999</v>
      </c>
      <c r="G26" s="4" t="s">
        <v>10</v>
      </c>
      <c r="H26" s="5">
        <v>2.0000000000000002E-5</v>
      </c>
      <c r="I26" s="4">
        <f t="shared" si="0"/>
        <v>2</v>
      </c>
      <c r="J26" s="6">
        <v>2.7999999999999998E-4</v>
      </c>
      <c r="K26" s="4">
        <f t="shared" si="1"/>
        <v>3</v>
      </c>
      <c r="L26" s="4">
        <f t="shared" si="2"/>
        <v>1</v>
      </c>
      <c r="M26" s="4">
        <f t="shared" si="3"/>
        <v>0.75</v>
      </c>
      <c r="N26" s="4">
        <f t="shared" si="4"/>
        <v>4</v>
      </c>
    </row>
    <row r="27" spans="1:14" x14ac:dyDescent="0.35">
      <c r="A27" s="7">
        <v>45700.791666666657</v>
      </c>
      <c r="B27" s="7">
        <v>45707.5</v>
      </c>
      <c r="C27" s="8" t="s">
        <v>11</v>
      </c>
      <c r="D27" s="9"/>
      <c r="E27" s="9">
        <v>1.0426299999999999</v>
      </c>
      <c r="F27" s="9">
        <v>1.0423899999999999</v>
      </c>
      <c r="G27" s="9" t="s">
        <v>10</v>
      </c>
      <c r="H27" s="11">
        <v>0</v>
      </c>
      <c r="I27" s="9">
        <f t="shared" si="0"/>
        <v>0</v>
      </c>
      <c r="J27" s="12">
        <v>2.7999999999999998E-4</v>
      </c>
      <c r="K27" s="9">
        <f t="shared" si="1"/>
        <v>4</v>
      </c>
      <c r="L27" s="9">
        <f t="shared" si="2"/>
        <v>0</v>
      </c>
      <c r="M27" s="9">
        <f t="shared" si="3"/>
        <v>6.7083333333430346</v>
      </c>
      <c r="N27" s="9">
        <f t="shared" si="4"/>
        <v>4</v>
      </c>
    </row>
    <row r="28" spans="1:14" x14ac:dyDescent="0.35">
      <c r="A28" s="2">
        <v>45707.5</v>
      </c>
      <c r="B28" s="2">
        <v>45707.583333333343</v>
      </c>
      <c r="C28" s="3" t="s">
        <v>9</v>
      </c>
      <c r="D28" s="4">
        <v>1.0423899999999999</v>
      </c>
      <c r="E28" s="4"/>
      <c r="F28" s="4">
        <v>1.0428200000000001</v>
      </c>
      <c r="G28" s="4" t="s">
        <v>10</v>
      </c>
      <c r="H28" s="5">
        <v>0</v>
      </c>
      <c r="I28" s="4">
        <f t="shared" si="0"/>
        <v>0</v>
      </c>
      <c r="J28" s="6">
        <v>2.7999999999999998E-4</v>
      </c>
      <c r="K28" s="4">
        <f t="shared" si="1"/>
        <v>4</v>
      </c>
      <c r="L28" s="4">
        <f t="shared" si="2"/>
        <v>0</v>
      </c>
      <c r="M28" s="4">
        <f t="shared" si="3"/>
        <v>8.333333334303461E-2</v>
      </c>
      <c r="N28" s="4">
        <f t="shared" si="4"/>
        <v>4</v>
      </c>
    </row>
    <row r="29" spans="1:14" x14ac:dyDescent="0.35">
      <c r="A29" s="7">
        <v>45707.75</v>
      </c>
      <c r="B29" s="7">
        <v>45707.875</v>
      </c>
      <c r="C29" s="13" t="s">
        <v>9</v>
      </c>
      <c r="D29" s="9">
        <v>1.04047</v>
      </c>
      <c r="E29" s="9"/>
      <c r="F29" s="9">
        <v>1.0425899999999999</v>
      </c>
      <c r="G29" s="9" t="s">
        <v>10</v>
      </c>
      <c r="H29" s="11">
        <v>2.0000000000000002E-5</v>
      </c>
      <c r="I29" s="9">
        <f t="shared" si="0"/>
        <v>2</v>
      </c>
      <c r="J29" s="12">
        <v>2.9999999999999997E-4</v>
      </c>
      <c r="K29" s="9">
        <f t="shared" si="1"/>
        <v>4</v>
      </c>
      <c r="L29" s="9">
        <f t="shared" si="2"/>
        <v>1</v>
      </c>
      <c r="M29" s="9">
        <f t="shared" si="3"/>
        <v>0.125</v>
      </c>
      <c r="N29" s="9">
        <f t="shared" si="4"/>
        <v>4</v>
      </c>
    </row>
    <row r="30" spans="1:14" x14ac:dyDescent="0.35">
      <c r="A30" s="2">
        <v>45708.708333333343</v>
      </c>
      <c r="B30" s="2">
        <v>45715.208333333343</v>
      </c>
      <c r="C30" s="14" t="s">
        <v>11</v>
      </c>
      <c r="D30" s="4"/>
      <c r="E30" s="4">
        <v>1.04741</v>
      </c>
      <c r="F30" s="4">
        <v>1.04657</v>
      </c>
      <c r="G30" s="4" t="s">
        <v>10</v>
      </c>
      <c r="H30" s="5">
        <v>1.0000000000000001E-5</v>
      </c>
      <c r="I30" s="4">
        <f t="shared" si="0"/>
        <v>1</v>
      </c>
      <c r="J30" s="6">
        <v>3.1E-4</v>
      </c>
      <c r="K30" s="4">
        <f t="shared" si="1"/>
        <v>5</v>
      </c>
      <c r="L30" s="4">
        <f t="shared" si="2"/>
        <v>1</v>
      </c>
      <c r="M30" s="4">
        <f t="shared" si="3"/>
        <v>6.5</v>
      </c>
      <c r="N30" s="4">
        <f t="shared" si="4"/>
        <v>5</v>
      </c>
    </row>
    <row r="31" spans="1:14" x14ac:dyDescent="0.35">
      <c r="A31" s="7">
        <v>45715.625</v>
      </c>
      <c r="B31" s="7">
        <v>45719.541666666657</v>
      </c>
      <c r="C31" s="13" t="s">
        <v>9</v>
      </c>
      <c r="D31" s="9">
        <v>1.0423500000000001</v>
      </c>
      <c r="E31" s="9"/>
      <c r="F31" s="9">
        <v>1.0452600000000001</v>
      </c>
      <c r="G31" s="9" t="s">
        <v>10</v>
      </c>
      <c r="H31" s="11">
        <v>3.0000000000000001E-5</v>
      </c>
      <c r="I31" s="9">
        <f t="shared" si="0"/>
        <v>3</v>
      </c>
      <c r="J31" s="12">
        <v>3.4000000000000002E-4</v>
      </c>
      <c r="K31" s="9">
        <f t="shared" si="1"/>
        <v>5</v>
      </c>
      <c r="L31" s="9">
        <f t="shared" si="2"/>
        <v>1</v>
      </c>
      <c r="M31" s="9">
        <f t="shared" si="3"/>
        <v>3.9166666666569654</v>
      </c>
      <c r="N31" s="9">
        <f t="shared" si="4"/>
        <v>2</v>
      </c>
    </row>
    <row r="32" spans="1:14" x14ac:dyDescent="0.35">
      <c r="A32" s="2">
        <v>45719.583333333343</v>
      </c>
      <c r="B32" s="2">
        <v>45736.458333333343</v>
      </c>
      <c r="C32" s="14" t="s">
        <v>11</v>
      </c>
      <c r="D32" s="4"/>
      <c r="E32" s="4">
        <v>1.04705</v>
      </c>
      <c r="F32" s="4">
        <v>1.0852299999999999</v>
      </c>
      <c r="G32" s="4" t="s">
        <v>10</v>
      </c>
      <c r="H32" s="14">
        <v>-3.8000000000000002E-4</v>
      </c>
      <c r="I32" s="4">
        <f t="shared" si="0"/>
        <v>-38</v>
      </c>
      <c r="J32" s="15">
        <v>-4.0000000000000003E-5</v>
      </c>
      <c r="K32" s="4">
        <f t="shared" si="1"/>
        <v>2</v>
      </c>
      <c r="L32" s="4">
        <f t="shared" si="2"/>
        <v>0</v>
      </c>
      <c r="M32" s="4">
        <f t="shared" si="3"/>
        <v>16.875</v>
      </c>
      <c r="N32" s="4">
        <f t="shared" si="4"/>
        <v>5</v>
      </c>
    </row>
    <row r="33" spans="1:14" x14ac:dyDescent="0.35">
      <c r="A33" s="7">
        <v>45736.458333333343</v>
      </c>
      <c r="B33" s="7">
        <v>45744.666666666657</v>
      </c>
      <c r="C33" s="13" t="s">
        <v>9</v>
      </c>
      <c r="D33" s="9">
        <v>1.0852299999999999</v>
      </c>
      <c r="E33" s="9"/>
      <c r="F33" s="9">
        <v>1.0823100000000001</v>
      </c>
      <c r="G33" s="9" t="s">
        <v>10</v>
      </c>
      <c r="H33" s="8">
        <v>-3.0000000000000001E-5</v>
      </c>
      <c r="I33" s="9">
        <f t="shared" si="0"/>
        <v>-3</v>
      </c>
      <c r="J33" s="10">
        <v>-6.9999999999999994E-5</v>
      </c>
      <c r="K33" s="9">
        <f t="shared" si="1"/>
        <v>5</v>
      </c>
      <c r="L33" s="9">
        <f t="shared" si="2"/>
        <v>0</v>
      </c>
      <c r="M33" s="9">
        <f t="shared" si="3"/>
        <v>8.2083333333139308</v>
      </c>
      <c r="N33" s="9">
        <f t="shared" si="4"/>
        <v>6</v>
      </c>
    </row>
    <row r="34" spans="1:14" x14ac:dyDescent="0.35">
      <c r="A34" s="2">
        <v>45749.708333333343</v>
      </c>
      <c r="B34" s="2">
        <v>45758.458333333343</v>
      </c>
      <c r="C34" s="14" t="s">
        <v>11</v>
      </c>
      <c r="D34" s="4"/>
      <c r="E34" s="4">
        <v>1.08586</v>
      </c>
      <c r="F34" s="4">
        <v>1.1427400000000001</v>
      </c>
      <c r="G34" s="4" t="s">
        <v>12</v>
      </c>
      <c r="H34" s="14">
        <v>-5.6999999999999998E-4</v>
      </c>
      <c r="I34" s="4">
        <f t="shared" si="0"/>
        <v>-57</v>
      </c>
      <c r="J34" s="15">
        <v>-6.4000000000000005E-4</v>
      </c>
      <c r="K34" s="4">
        <f t="shared" si="1"/>
        <v>4</v>
      </c>
      <c r="L34" s="4">
        <f t="shared" si="2"/>
        <v>0</v>
      </c>
      <c r="M34" s="4">
        <f t="shared" si="3"/>
        <v>8.75</v>
      </c>
      <c r="N34" s="4">
        <f t="shared" si="4"/>
        <v>6</v>
      </c>
    </row>
    <row r="35" spans="1:14" x14ac:dyDescent="0.35">
      <c r="A35" s="7">
        <v>45758.458333333343</v>
      </c>
      <c r="B35" s="7">
        <v>45770.041666666657</v>
      </c>
      <c r="C35" s="8" t="s">
        <v>11</v>
      </c>
      <c r="D35" s="9"/>
      <c r="E35" s="9">
        <v>1.1427400000000001</v>
      </c>
      <c r="F35" s="9">
        <v>1.13374</v>
      </c>
      <c r="G35" s="9" t="s">
        <v>10</v>
      </c>
      <c r="H35" s="11">
        <v>9.0000000000000006E-5</v>
      </c>
      <c r="I35" s="9">
        <f t="shared" si="0"/>
        <v>9</v>
      </c>
      <c r="J35" s="10">
        <v>-5.5000000000000003E-4</v>
      </c>
      <c r="K35" s="9">
        <f t="shared" si="1"/>
        <v>6</v>
      </c>
      <c r="L35" s="9">
        <f t="shared" si="2"/>
        <v>1</v>
      </c>
      <c r="M35" s="9">
        <f t="shared" si="3"/>
        <v>11.583333333313931</v>
      </c>
      <c r="N35" s="9">
        <f t="shared" si="4"/>
        <v>4</v>
      </c>
    </row>
    <row r="36" spans="1:14" x14ac:dyDescent="0.35">
      <c r="A36" s="2">
        <v>45770.041666666657</v>
      </c>
      <c r="B36" s="2">
        <v>45770.125</v>
      </c>
      <c r="C36" s="3" t="s">
        <v>9</v>
      </c>
      <c r="D36" s="4">
        <v>1.13374</v>
      </c>
      <c r="E36" s="4"/>
      <c r="F36" s="4">
        <v>1.1396999999999999</v>
      </c>
      <c r="G36" s="4" t="s">
        <v>10</v>
      </c>
      <c r="H36" s="5">
        <v>6.0000000000000002E-5</v>
      </c>
      <c r="I36" s="4">
        <f t="shared" si="0"/>
        <v>6</v>
      </c>
      <c r="J36" s="15">
        <v>-4.8999999999999998E-4</v>
      </c>
      <c r="K36" s="4">
        <f t="shared" si="1"/>
        <v>4</v>
      </c>
      <c r="L36" s="4">
        <f t="shared" si="2"/>
        <v>1</v>
      </c>
      <c r="M36" s="4">
        <f t="shared" si="3"/>
        <v>8.333333334303461E-2</v>
      </c>
      <c r="N36" s="4">
        <f t="shared" si="4"/>
        <v>4</v>
      </c>
    </row>
    <row r="37" spans="1:14" x14ac:dyDescent="0.35">
      <c r="A37" s="7">
        <v>45778.166666666657</v>
      </c>
      <c r="B37" s="7">
        <v>45779.5</v>
      </c>
      <c r="C37" s="13" t="s">
        <v>9</v>
      </c>
      <c r="D37" s="9">
        <v>1.1308499999999999</v>
      </c>
      <c r="E37" s="9"/>
      <c r="F37" s="9">
        <v>1.13503</v>
      </c>
      <c r="G37" s="9" t="s">
        <v>10</v>
      </c>
      <c r="H37" s="11">
        <v>4.0000000000000003E-5</v>
      </c>
      <c r="I37" s="9">
        <f t="shared" si="0"/>
        <v>4</v>
      </c>
      <c r="J37" s="10">
        <v>-4.4999999999999999E-4</v>
      </c>
      <c r="K37" s="9">
        <f t="shared" si="1"/>
        <v>5</v>
      </c>
      <c r="L37" s="9">
        <f t="shared" si="2"/>
        <v>1</v>
      </c>
      <c r="M37" s="9">
        <f t="shared" si="3"/>
        <v>1.3333333333430346</v>
      </c>
      <c r="N37" s="9">
        <f t="shared" si="4"/>
        <v>6</v>
      </c>
    </row>
    <row r="38" spans="1:14" x14ac:dyDescent="0.35">
      <c r="A38" s="2">
        <v>45785.791666666657</v>
      </c>
      <c r="B38" s="2">
        <v>45791.5</v>
      </c>
      <c r="C38" s="3" t="s">
        <v>9</v>
      </c>
      <c r="D38" s="4">
        <v>1.1226100000000001</v>
      </c>
      <c r="E38" s="4"/>
      <c r="F38" s="4">
        <v>1.12523</v>
      </c>
      <c r="G38" s="4" t="s">
        <v>10</v>
      </c>
      <c r="H38" s="5">
        <v>3.0000000000000001E-5</v>
      </c>
      <c r="I38" s="4">
        <f t="shared" si="0"/>
        <v>3</v>
      </c>
      <c r="J38" s="15">
        <v>-4.2000000000000002E-4</v>
      </c>
      <c r="K38" s="4">
        <f t="shared" si="1"/>
        <v>5</v>
      </c>
      <c r="L38" s="4">
        <f t="shared" si="2"/>
        <v>1</v>
      </c>
      <c r="M38" s="4">
        <f t="shared" si="3"/>
        <v>5.7083333333430346</v>
      </c>
      <c r="N38" s="4">
        <f t="shared" si="4"/>
        <v>4</v>
      </c>
    </row>
    <row r="39" spans="1:14" x14ac:dyDescent="0.35">
      <c r="A39" s="7">
        <v>45791.5</v>
      </c>
      <c r="B39" s="7">
        <v>45791.541666666657</v>
      </c>
      <c r="C39" s="8" t="s">
        <v>11</v>
      </c>
      <c r="D39" s="9"/>
      <c r="E39" s="9">
        <v>1.12523</v>
      </c>
      <c r="F39" s="9">
        <v>1.1231100000000001</v>
      </c>
      <c r="G39" s="9" t="s">
        <v>10</v>
      </c>
      <c r="H39" s="11">
        <v>2.0000000000000002E-5</v>
      </c>
      <c r="I39" s="9">
        <f t="shared" si="0"/>
        <v>2</v>
      </c>
      <c r="J39" s="10">
        <v>-4.0000000000000002E-4</v>
      </c>
      <c r="K39" s="9">
        <f t="shared" si="1"/>
        <v>4</v>
      </c>
      <c r="L39" s="9">
        <f t="shared" si="2"/>
        <v>1</v>
      </c>
      <c r="M39" s="9">
        <f t="shared" si="3"/>
        <v>4.166666665696539E-2</v>
      </c>
      <c r="N39" s="9">
        <f t="shared" si="4"/>
        <v>4</v>
      </c>
    </row>
    <row r="40" spans="1:14" x14ac:dyDescent="0.35">
      <c r="A40" s="2">
        <v>45793.75</v>
      </c>
      <c r="B40" s="2">
        <v>45796.416666666657</v>
      </c>
      <c r="C40" s="3" t="s">
        <v>9</v>
      </c>
      <c r="D40" s="4">
        <v>1.1140300000000001</v>
      </c>
      <c r="E40" s="4"/>
      <c r="F40" s="4">
        <v>1.1238300000000001</v>
      </c>
      <c r="G40" s="4" t="s">
        <v>10</v>
      </c>
      <c r="H40" s="5">
        <v>1E-4</v>
      </c>
      <c r="I40" s="4">
        <f t="shared" si="0"/>
        <v>10</v>
      </c>
      <c r="J40" s="15">
        <v>-2.9999999999999997E-4</v>
      </c>
      <c r="K40" s="4">
        <f t="shared" si="1"/>
        <v>6</v>
      </c>
      <c r="L40" s="4">
        <f t="shared" si="2"/>
        <v>1</v>
      </c>
      <c r="M40" s="4">
        <f t="shared" si="3"/>
        <v>2.6666666666569654</v>
      </c>
      <c r="N40" s="4">
        <f t="shared" si="4"/>
        <v>2</v>
      </c>
    </row>
    <row r="41" spans="1:14" x14ac:dyDescent="0.35">
      <c r="A41" s="7">
        <v>45796.458333333343</v>
      </c>
      <c r="B41" s="7">
        <v>45805.208333333343</v>
      </c>
      <c r="C41" s="8" t="s">
        <v>11</v>
      </c>
      <c r="D41" s="9"/>
      <c r="E41" s="9">
        <v>1.12575</v>
      </c>
      <c r="F41" s="9">
        <v>1.1305499999999999</v>
      </c>
      <c r="G41" s="9" t="s">
        <v>10</v>
      </c>
      <c r="H41" s="8">
        <v>-5.0000000000000002E-5</v>
      </c>
      <c r="I41" s="9">
        <f t="shared" si="0"/>
        <v>-5</v>
      </c>
      <c r="J41" s="10">
        <v>-3.5E-4</v>
      </c>
      <c r="K41" s="9">
        <f t="shared" si="1"/>
        <v>2</v>
      </c>
      <c r="L41" s="9">
        <f t="shared" si="2"/>
        <v>0</v>
      </c>
      <c r="M41" s="9">
        <f t="shared" si="3"/>
        <v>8.75</v>
      </c>
      <c r="N41" s="9">
        <f t="shared" si="4"/>
        <v>4</v>
      </c>
    </row>
    <row r="42" spans="1:14" x14ac:dyDescent="0.35">
      <c r="A42" s="2">
        <v>45805.208333333343</v>
      </c>
      <c r="B42" s="2">
        <v>45805.333333333343</v>
      </c>
      <c r="C42" s="3" t="s">
        <v>9</v>
      </c>
      <c r="D42" s="4">
        <v>1.1305499999999999</v>
      </c>
      <c r="E42" s="4"/>
      <c r="F42" s="4">
        <v>1.1314900000000001</v>
      </c>
      <c r="G42" s="4" t="s">
        <v>10</v>
      </c>
      <c r="H42" s="5">
        <v>1.0000000000000001E-5</v>
      </c>
      <c r="I42" s="4">
        <f t="shared" si="0"/>
        <v>1</v>
      </c>
      <c r="J42" s="15">
        <v>-3.4000000000000002E-4</v>
      </c>
      <c r="K42" s="4">
        <f t="shared" si="1"/>
        <v>4</v>
      </c>
      <c r="L42" s="4">
        <f t="shared" si="2"/>
        <v>1</v>
      </c>
      <c r="M42" s="4">
        <f t="shared" si="3"/>
        <v>0.125</v>
      </c>
      <c r="N42" s="4">
        <f t="shared" si="4"/>
        <v>4</v>
      </c>
    </row>
    <row r="43" spans="1:14" x14ac:dyDescent="0.35">
      <c r="A43" s="7">
        <v>45806.083333333343</v>
      </c>
      <c r="B43" s="7">
        <v>45806.625</v>
      </c>
      <c r="C43" s="13" t="s">
        <v>9</v>
      </c>
      <c r="D43" s="9">
        <v>1.1229800000000001</v>
      </c>
      <c r="E43" s="9"/>
      <c r="F43" s="9">
        <v>1.1349499999999999</v>
      </c>
      <c r="G43" s="9" t="s">
        <v>10</v>
      </c>
      <c r="H43" s="11">
        <v>1.2E-4</v>
      </c>
      <c r="I43" s="9">
        <f t="shared" si="0"/>
        <v>12</v>
      </c>
      <c r="J43" s="10">
        <v>-2.2000000000000001E-4</v>
      </c>
      <c r="K43" s="9">
        <f t="shared" si="1"/>
        <v>5</v>
      </c>
      <c r="L43" s="9">
        <f t="shared" si="2"/>
        <v>1</v>
      </c>
      <c r="M43" s="9">
        <f t="shared" si="3"/>
        <v>0.54166666665696539</v>
      </c>
      <c r="N43" s="9">
        <f t="shared" si="4"/>
        <v>5</v>
      </c>
    </row>
    <row r="44" spans="1:14" x14ac:dyDescent="0.35">
      <c r="A44" s="2">
        <v>45806.75</v>
      </c>
      <c r="B44" s="2">
        <v>45818.416666666657</v>
      </c>
      <c r="C44" s="14" t="s">
        <v>11</v>
      </c>
      <c r="D44" s="4"/>
      <c r="E44" s="4">
        <v>1.13697</v>
      </c>
      <c r="F44" s="4">
        <v>1.13923</v>
      </c>
      <c r="G44" s="4" t="s">
        <v>10</v>
      </c>
      <c r="H44" s="14">
        <v>-2.0000000000000002E-5</v>
      </c>
      <c r="I44" s="4">
        <f t="shared" si="0"/>
        <v>-2</v>
      </c>
      <c r="J44" s="15">
        <v>-2.4000000000000001E-4</v>
      </c>
      <c r="K44" s="4">
        <f t="shared" si="1"/>
        <v>5</v>
      </c>
      <c r="L44" s="4">
        <f t="shared" si="2"/>
        <v>0</v>
      </c>
      <c r="M44" s="4">
        <f t="shared" si="3"/>
        <v>11.666666666656965</v>
      </c>
      <c r="N44" s="4">
        <f t="shared" si="4"/>
        <v>3</v>
      </c>
    </row>
    <row r="45" spans="1:14" x14ac:dyDescent="0.35">
      <c r="A45" s="7">
        <v>45819.708333333343</v>
      </c>
      <c r="B45" s="7">
        <v>45825.833333333343</v>
      </c>
      <c r="C45" s="8" t="s">
        <v>11</v>
      </c>
      <c r="D45" s="9"/>
      <c r="E45" s="9">
        <v>1.14818</v>
      </c>
      <c r="F45" s="9">
        <v>1.14866</v>
      </c>
      <c r="G45" s="9" t="s">
        <v>10</v>
      </c>
      <c r="H45" s="11">
        <v>0</v>
      </c>
      <c r="I45" s="9">
        <f t="shared" si="0"/>
        <v>0</v>
      </c>
      <c r="J45" s="10">
        <v>-2.4000000000000001E-4</v>
      </c>
      <c r="K45" s="9">
        <f t="shared" si="1"/>
        <v>4</v>
      </c>
      <c r="L45" s="9">
        <f t="shared" si="2"/>
        <v>0</v>
      </c>
      <c r="M45" s="9">
        <f t="shared" si="3"/>
        <v>6.125</v>
      </c>
      <c r="N45" s="9">
        <f t="shared" si="4"/>
        <v>3</v>
      </c>
    </row>
    <row r="46" spans="1:14" x14ac:dyDescent="0.35">
      <c r="A46" s="2">
        <v>45825.833333333343</v>
      </c>
      <c r="B46" s="2">
        <v>45826.166666666657</v>
      </c>
      <c r="C46" s="3" t="s">
        <v>9</v>
      </c>
      <c r="D46" s="4">
        <v>1.14866</v>
      </c>
      <c r="E46" s="4"/>
      <c r="F46" s="4">
        <v>1.1496999999999999</v>
      </c>
      <c r="G46" s="4" t="s">
        <v>10</v>
      </c>
      <c r="H46" s="5">
        <v>1.0000000000000001E-5</v>
      </c>
      <c r="I46" s="4">
        <f t="shared" si="0"/>
        <v>1</v>
      </c>
      <c r="J46" s="15">
        <v>-2.3000000000000001E-4</v>
      </c>
      <c r="K46" s="4">
        <f t="shared" si="1"/>
        <v>3</v>
      </c>
      <c r="L46" s="4">
        <f t="shared" si="2"/>
        <v>1</v>
      </c>
      <c r="M46" s="4">
        <f t="shared" si="3"/>
        <v>0.33333333331393078</v>
      </c>
      <c r="N46" s="4">
        <f t="shared" si="4"/>
        <v>4</v>
      </c>
    </row>
    <row r="47" spans="1:14" x14ac:dyDescent="0.35">
      <c r="A47" s="7">
        <v>45831.916666666657</v>
      </c>
      <c r="B47" s="7">
        <v>45845.458333333343</v>
      </c>
      <c r="C47" s="8" t="s">
        <v>11</v>
      </c>
      <c r="D47" s="9"/>
      <c r="E47" s="9">
        <v>1.1578599999999999</v>
      </c>
      <c r="F47" s="9">
        <v>1.1724399999999999</v>
      </c>
      <c r="G47" s="9" t="s">
        <v>10</v>
      </c>
      <c r="H47" s="8">
        <v>-1.4999999999999999E-4</v>
      </c>
      <c r="I47" s="9">
        <f t="shared" si="0"/>
        <v>-14.999999999999998</v>
      </c>
      <c r="J47" s="10">
        <v>-3.8000000000000002E-4</v>
      </c>
      <c r="K47" s="9">
        <f t="shared" si="1"/>
        <v>2</v>
      </c>
      <c r="L47" s="9">
        <f t="shared" si="2"/>
        <v>0</v>
      </c>
      <c r="M47" s="9">
        <f t="shared" si="3"/>
        <v>13.541666666686069</v>
      </c>
      <c r="N47" s="9">
        <f t="shared" si="4"/>
        <v>2</v>
      </c>
    </row>
    <row r="48" spans="1:14" x14ac:dyDescent="0.35">
      <c r="A48" s="2">
        <v>45845.458333333343</v>
      </c>
      <c r="B48" s="2">
        <v>45845.5</v>
      </c>
      <c r="C48" s="3" t="s">
        <v>9</v>
      </c>
      <c r="D48" s="4">
        <v>1.1724399999999999</v>
      </c>
      <c r="E48" s="4"/>
      <c r="F48" s="4">
        <v>1.1733899999999999</v>
      </c>
      <c r="G48" s="4" t="s">
        <v>10</v>
      </c>
      <c r="H48" s="5">
        <v>1.0000000000000001E-5</v>
      </c>
      <c r="I48" s="4">
        <f t="shared" si="0"/>
        <v>1</v>
      </c>
      <c r="J48" s="15">
        <v>-3.6999999999999999E-4</v>
      </c>
      <c r="K48" s="4">
        <f t="shared" si="1"/>
        <v>2</v>
      </c>
      <c r="L48" s="4">
        <f t="shared" si="2"/>
        <v>1</v>
      </c>
      <c r="M48" s="4">
        <f t="shared" si="3"/>
        <v>4.166666665696539E-2</v>
      </c>
      <c r="N48" s="4">
        <f t="shared" si="4"/>
        <v>2</v>
      </c>
    </row>
    <row r="49" spans="1:14" x14ac:dyDescent="0.35">
      <c r="A49" s="7">
        <v>45845.541666666657</v>
      </c>
      <c r="B49" s="7">
        <v>45845.583333333343</v>
      </c>
      <c r="C49" s="13" t="s">
        <v>9</v>
      </c>
      <c r="D49" s="9">
        <v>1.17276</v>
      </c>
      <c r="E49" s="9"/>
      <c r="F49" s="9">
        <v>1.17296</v>
      </c>
      <c r="G49" s="9" t="s">
        <v>10</v>
      </c>
      <c r="H49" s="11">
        <v>0</v>
      </c>
      <c r="I49" s="9">
        <f t="shared" si="0"/>
        <v>0</v>
      </c>
      <c r="J49" s="10">
        <v>-3.6999999999999999E-4</v>
      </c>
      <c r="K49" s="9">
        <f t="shared" si="1"/>
        <v>2</v>
      </c>
      <c r="L49" s="9">
        <f t="shared" si="2"/>
        <v>0</v>
      </c>
      <c r="M49" s="9">
        <f t="shared" si="3"/>
        <v>4.166666668606922E-2</v>
      </c>
      <c r="N49" s="9">
        <f t="shared" si="4"/>
        <v>2</v>
      </c>
    </row>
    <row r="50" spans="1:14" x14ac:dyDescent="0.35">
      <c r="A50" s="2">
        <v>45845.625</v>
      </c>
      <c r="B50" s="2">
        <v>45845.666666666657</v>
      </c>
      <c r="C50" s="3" t="s">
        <v>9</v>
      </c>
      <c r="D50" s="4">
        <v>1.1722600000000001</v>
      </c>
      <c r="E50" s="4"/>
      <c r="F50" s="4">
        <v>1.1735199999999999</v>
      </c>
      <c r="G50" s="4" t="s">
        <v>10</v>
      </c>
      <c r="H50" s="5">
        <v>1.0000000000000001E-5</v>
      </c>
      <c r="I50" s="4">
        <f t="shared" si="0"/>
        <v>1</v>
      </c>
      <c r="J50" s="15">
        <v>-3.6000000000000002E-4</v>
      </c>
      <c r="K50" s="4">
        <f t="shared" si="1"/>
        <v>2</v>
      </c>
      <c r="L50" s="4">
        <f t="shared" si="2"/>
        <v>1</v>
      </c>
      <c r="M50" s="4">
        <f t="shared" si="3"/>
        <v>4.166666665696539E-2</v>
      </c>
      <c r="N50" s="4">
        <f t="shared" si="4"/>
        <v>2</v>
      </c>
    </row>
    <row r="51" spans="1:14" x14ac:dyDescent="0.35">
      <c r="A51" s="7">
        <v>45845.791666666657</v>
      </c>
      <c r="B51" s="7">
        <v>45846.041666666657</v>
      </c>
      <c r="C51" s="13" t="s">
        <v>9</v>
      </c>
      <c r="D51" s="9">
        <v>1.16943</v>
      </c>
      <c r="E51" s="9"/>
      <c r="F51" s="9">
        <v>1.1735199999999999</v>
      </c>
      <c r="G51" s="9" t="s">
        <v>10</v>
      </c>
      <c r="H51" s="11">
        <v>4.0000000000000003E-5</v>
      </c>
      <c r="I51" s="9">
        <f t="shared" si="0"/>
        <v>4</v>
      </c>
      <c r="J51" s="10">
        <v>-3.2000000000000003E-4</v>
      </c>
      <c r="K51" s="9">
        <f t="shared" si="1"/>
        <v>2</v>
      </c>
      <c r="L51" s="9">
        <f t="shared" si="2"/>
        <v>1</v>
      </c>
      <c r="M51" s="9">
        <f t="shared" si="3"/>
        <v>0.25</v>
      </c>
      <c r="N51" s="9">
        <f t="shared" si="4"/>
        <v>3</v>
      </c>
    </row>
    <row r="52" spans="1:14" x14ac:dyDescent="0.35">
      <c r="A52" s="2">
        <v>45848.708333333343</v>
      </c>
      <c r="B52" s="2">
        <v>45856.666666666657</v>
      </c>
      <c r="C52" s="3" t="s">
        <v>9</v>
      </c>
      <c r="D52" s="4">
        <v>1.1679900000000001</v>
      </c>
      <c r="E52" s="4"/>
      <c r="F52" s="4">
        <v>1.16665</v>
      </c>
      <c r="G52" s="4" t="s">
        <v>10</v>
      </c>
      <c r="H52" s="14">
        <v>-1.0000000000000001E-5</v>
      </c>
      <c r="I52" s="4">
        <f t="shared" si="0"/>
        <v>-1</v>
      </c>
      <c r="J52" s="15">
        <v>-3.3E-4</v>
      </c>
      <c r="K52" s="4">
        <f t="shared" si="1"/>
        <v>5</v>
      </c>
      <c r="L52" s="4">
        <f t="shared" si="2"/>
        <v>0</v>
      </c>
      <c r="M52" s="4">
        <f t="shared" si="3"/>
        <v>7.9583333333139308</v>
      </c>
      <c r="N52" s="4">
        <f t="shared" si="4"/>
        <v>6</v>
      </c>
    </row>
    <row r="53" spans="1:14" x14ac:dyDescent="0.35">
      <c r="A53" s="7">
        <v>45856.666666666657</v>
      </c>
      <c r="B53" s="7">
        <v>45856.708333333343</v>
      </c>
      <c r="C53" s="8" t="s">
        <v>11</v>
      </c>
      <c r="D53" s="9"/>
      <c r="E53" s="9">
        <v>1.16665</v>
      </c>
      <c r="F53" s="9">
        <v>1.16479</v>
      </c>
      <c r="G53" s="9" t="s">
        <v>10</v>
      </c>
      <c r="H53" s="11">
        <v>2.0000000000000002E-5</v>
      </c>
      <c r="I53" s="9">
        <f t="shared" si="0"/>
        <v>2</v>
      </c>
      <c r="J53" s="10">
        <v>-3.1E-4</v>
      </c>
      <c r="K53" s="9">
        <f t="shared" si="1"/>
        <v>6</v>
      </c>
      <c r="L53" s="9">
        <f t="shared" si="2"/>
        <v>1</v>
      </c>
      <c r="M53" s="9">
        <f t="shared" si="3"/>
        <v>4.166666668606922E-2</v>
      </c>
      <c r="N53" s="9">
        <f t="shared" si="4"/>
        <v>6</v>
      </c>
    </row>
    <row r="54" spans="1:14" x14ac:dyDescent="0.35">
      <c r="A54" s="2">
        <v>45859.583333333343</v>
      </c>
      <c r="B54" s="2">
        <v>45866.416666666657</v>
      </c>
      <c r="C54" s="14" t="s">
        <v>11</v>
      </c>
      <c r="D54" s="4"/>
      <c r="E54" s="4">
        <v>1.16676</v>
      </c>
      <c r="F54" s="4">
        <v>1.1674899999999999</v>
      </c>
      <c r="G54" s="4" t="s">
        <v>10</v>
      </c>
      <c r="H54" s="14">
        <v>-1.0000000000000001E-5</v>
      </c>
      <c r="I54" s="4">
        <f t="shared" si="0"/>
        <v>-1</v>
      </c>
      <c r="J54" s="15">
        <v>-3.2000000000000003E-4</v>
      </c>
      <c r="K54" s="4">
        <f t="shared" si="1"/>
        <v>2</v>
      </c>
      <c r="L54" s="4">
        <f t="shared" si="2"/>
        <v>0</v>
      </c>
      <c r="M54" s="4">
        <f t="shared" si="3"/>
        <v>6.8333333333139308</v>
      </c>
      <c r="N54" s="4">
        <f t="shared" si="4"/>
        <v>2</v>
      </c>
    </row>
    <row r="55" spans="1:14" x14ac:dyDescent="0.35">
      <c r="A55" s="7">
        <v>45866.416666666657</v>
      </c>
      <c r="B55" s="7">
        <v>45870.916666666657</v>
      </c>
      <c r="C55" s="13" t="s">
        <v>9</v>
      </c>
      <c r="D55" s="9">
        <v>1.1674899999999999</v>
      </c>
      <c r="E55" s="9"/>
      <c r="F55" s="9">
        <v>1.1569</v>
      </c>
      <c r="G55" s="9" t="s">
        <v>10</v>
      </c>
      <c r="H55" s="8">
        <v>-1.1E-4</v>
      </c>
      <c r="I55" s="9">
        <f t="shared" si="0"/>
        <v>-11</v>
      </c>
      <c r="J55" s="10">
        <v>-4.2999999999999999E-4</v>
      </c>
      <c r="K55" s="9">
        <f t="shared" si="1"/>
        <v>2</v>
      </c>
      <c r="L55" s="9">
        <f t="shared" si="2"/>
        <v>0</v>
      </c>
      <c r="M55" s="9">
        <f t="shared" si="3"/>
        <v>4.5</v>
      </c>
      <c r="N55" s="9">
        <f t="shared" si="4"/>
        <v>6</v>
      </c>
    </row>
    <row r="56" spans="1:14" x14ac:dyDescent="0.35">
      <c r="A56" s="2">
        <v>45870.916666666657</v>
      </c>
      <c r="B56" s="2">
        <v>45873.125</v>
      </c>
      <c r="C56" s="14" t="s">
        <v>11</v>
      </c>
      <c r="D56" s="4"/>
      <c r="E56" s="4">
        <v>1.1569</v>
      </c>
      <c r="F56" s="4">
        <v>1.1557999999999999</v>
      </c>
      <c r="G56" s="4" t="s">
        <v>10</v>
      </c>
      <c r="H56" s="5">
        <v>1.0000000000000001E-5</v>
      </c>
      <c r="I56" s="4">
        <f t="shared" si="0"/>
        <v>1</v>
      </c>
      <c r="J56" s="15">
        <v>-4.2000000000000002E-4</v>
      </c>
      <c r="K56" s="4">
        <f t="shared" si="1"/>
        <v>6</v>
      </c>
      <c r="L56" s="4">
        <f t="shared" si="2"/>
        <v>1</v>
      </c>
      <c r="M56" s="4">
        <f t="shared" si="3"/>
        <v>2.2083333333430346</v>
      </c>
      <c r="N56" s="4">
        <f t="shared" si="4"/>
        <v>2</v>
      </c>
    </row>
    <row r="57" spans="1:14" x14ac:dyDescent="0.35">
      <c r="A57" s="7">
        <v>45875.625</v>
      </c>
      <c r="B57" s="7">
        <v>45880.708333333343</v>
      </c>
      <c r="C57" s="8" t="s">
        <v>11</v>
      </c>
      <c r="D57" s="9"/>
      <c r="E57" s="9">
        <v>1.1623699999999999</v>
      </c>
      <c r="F57" s="9">
        <v>1.1595899999999999</v>
      </c>
      <c r="G57" s="9" t="s">
        <v>10</v>
      </c>
      <c r="H57" s="11">
        <v>3.0000000000000001E-5</v>
      </c>
      <c r="I57" s="9">
        <f t="shared" si="0"/>
        <v>3</v>
      </c>
      <c r="J57" s="10">
        <v>-3.8999999999999999E-4</v>
      </c>
      <c r="K57" s="9">
        <f t="shared" si="1"/>
        <v>4</v>
      </c>
      <c r="L57" s="9">
        <f t="shared" si="2"/>
        <v>1</v>
      </c>
      <c r="M57" s="9">
        <f t="shared" si="3"/>
        <v>5.0833333333430346</v>
      </c>
      <c r="N57" s="9">
        <f t="shared" si="4"/>
        <v>2</v>
      </c>
    </row>
    <row r="58" spans="1:14" x14ac:dyDescent="0.35">
      <c r="A58" s="2">
        <v>45880.708333333343</v>
      </c>
      <c r="B58" s="2">
        <v>45880.875</v>
      </c>
      <c r="C58" s="3" t="s">
        <v>9</v>
      </c>
      <c r="D58" s="4">
        <v>1.1595899999999999</v>
      </c>
      <c r="E58" s="4"/>
      <c r="F58" s="4">
        <v>1.16124</v>
      </c>
      <c r="G58" s="4" t="s">
        <v>10</v>
      </c>
      <c r="H58" s="5">
        <v>2.0000000000000002E-5</v>
      </c>
      <c r="I58" s="4">
        <f t="shared" si="0"/>
        <v>2</v>
      </c>
      <c r="J58" s="15">
        <v>-3.6999999999999999E-4</v>
      </c>
      <c r="K58" s="4">
        <f t="shared" si="1"/>
        <v>2</v>
      </c>
      <c r="L58" s="4">
        <f t="shared" si="2"/>
        <v>1</v>
      </c>
      <c r="M58" s="4">
        <f t="shared" si="3"/>
        <v>0.16666666665696539</v>
      </c>
      <c r="N58" s="4">
        <f t="shared" si="4"/>
        <v>2</v>
      </c>
    </row>
    <row r="59" spans="1:14" x14ac:dyDescent="0.35">
      <c r="A59" s="7">
        <v>45881.791666666657</v>
      </c>
      <c r="B59" s="7">
        <v>45883.75</v>
      </c>
      <c r="C59" s="8" t="s">
        <v>11</v>
      </c>
      <c r="D59" s="9"/>
      <c r="E59" s="9">
        <v>1.1679999999999999</v>
      </c>
      <c r="F59" s="9">
        <v>1.16431</v>
      </c>
      <c r="G59" s="9" t="s">
        <v>10</v>
      </c>
      <c r="H59" s="11">
        <v>4.0000000000000003E-5</v>
      </c>
      <c r="I59" s="9">
        <f t="shared" si="0"/>
        <v>4</v>
      </c>
      <c r="J59" s="10">
        <v>-3.3E-4</v>
      </c>
      <c r="K59" s="9">
        <f t="shared" si="1"/>
        <v>3</v>
      </c>
      <c r="L59" s="9">
        <f t="shared" si="2"/>
        <v>1</v>
      </c>
      <c r="M59" s="9">
        <f t="shared" si="3"/>
        <v>1.9583333333430346</v>
      </c>
      <c r="N59" s="9">
        <f t="shared" si="4"/>
        <v>5</v>
      </c>
    </row>
    <row r="60" spans="1:14" x14ac:dyDescent="0.35">
      <c r="A60" s="2">
        <v>45884.666666666657</v>
      </c>
      <c r="B60" s="2">
        <v>45887.791666666657</v>
      </c>
      <c r="C60" s="14" t="s">
        <v>11</v>
      </c>
      <c r="D60" s="4"/>
      <c r="E60" s="4">
        <v>1.17025</v>
      </c>
      <c r="F60" s="4">
        <v>1.1657999999999999</v>
      </c>
      <c r="G60" s="4" t="s">
        <v>10</v>
      </c>
      <c r="H60" s="5">
        <v>4.0000000000000003E-5</v>
      </c>
      <c r="I60" s="4">
        <f t="shared" si="0"/>
        <v>4</v>
      </c>
      <c r="J60" s="15">
        <v>-2.9E-4</v>
      </c>
      <c r="K60" s="4">
        <f t="shared" si="1"/>
        <v>6</v>
      </c>
      <c r="L60" s="4">
        <f t="shared" si="2"/>
        <v>1</v>
      </c>
      <c r="M60" s="4">
        <f t="shared" si="3"/>
        <v>3.125</v>
      </c>
      <c r="N60" s="4">
        <f t="shared" si="4"/>
        <v>2</v>
      </c>
    </row>
    <row r="61" spans="1:14" x14ac:dyDescent="0.35">
      <c r="A61" s="7">
        <v>45887.791666666657</v>
      </c>
      <c r="B61" s="7">
        <v>45887.833333333343</v>
      </c>
      <c r="C61" s="13" t="s">
        <v>9</v>
      </c>
      <c r="D61" s="9">
        <v>1.1657999999999999</v>
      </c>
      <c r="E61" s="9"/>
      <c r="F61" s="9">
        <v>1.16629</v>
      </c>
      <c r="G61" s="9" t="s">
        <v>10</v>
      </c>
      <c r="H61" s="11">
        <v>0</v>
      </c>
      <c r="I61" s="9">
        <f t="shared" si="0"/>
        <v>0</v>
      </c>
      <c r="J61" s="10">
        <v>-2.9E-4</v>
      </c>
      <c r="K61" s="9">
        <f t="shared" si="1"/>
        <v>2</v>
      </c>
      <c r="L61" s="9">
        <f t="shared" si="2"/>
        <v>0</v>
      </c>
      <c r="M61" s="9">
        <f t="shared" si="3"/>
        <v>4.166666668606922E-2</v>
      </c>
      <c r="N61" s="9">
        <f t="shared" si="4"/>
        <v>2</v>
      </c>
    </row>
    <row r="62" spans="1:14" x14ac:dyDescent="0.35">
      <c r="A62" s="2">
        <v>45889.166666666657</v>
      </c>
      <c r="B62" s="2">
        <v>45889.625</v>
      </c>
      <c r="C62" s="3" t="s">
        <v>9</v>
      </c>
      <c r="D62" s="4">
        <v>1.16276</v>
      </c>
      <c r="E62" s="4"/>
      <c r="F62" s="4">
        <v>1.1671400000000001</v>
      </c>
      <c r="G62" s="4" t="s">
        <v>10</v>
      </c>
      <c r="H62" s="5">
        <v>4.0000000000000003E-5</v>
      </c>
      <c r="I62" s="4">
        <f t="shared" si="0"/>
        <v>4</v>
      </c>
      <c r="J62" s="15">
        <v>-2.5000000000000001E-4</v>
      </c>
      <c r="K62" s="4">
        <f t="shared" si="1"/>
        <v>4</v>
      </c>
      <c r="L62" s="4">
        <f t="shared" si="2"/>
        <v>1</v>
      </c>
      <c r="M62" s="4">
        <f t="shared" si="3"/>
        <v>0.45833333334303461</v>
      </c>
      <c r="N62" s="4">
        <f t="shared" si="4"/>
        <v>4</v>
      </c>
    </row>
    <row r="63" spans="1:14" x14ac:dyDescent="0.35">
      <c r="A63" s="7">
        <v>45891.291666666657</v>
      </c>
      <c r="B63" s="7">
        <v>45891.708333333343</v>
      </c>
      <c r="C63" s="13" t="s">
        <v>9</v>
      </c>
      <c r="D63" s="9">
        <v>1.15845</v>
      </c>
      <c r="E63" s="9"/>
      <c r="F63" s="9">
        <v>1.17184</v>
      </c>
      <c r="G63" s="9" t="s">
        <v>10</v>
      </c>
      <c r="H63" s="11">
        <v>1.2999999999999999E-4</v>
      </c>
      <c r="I63" s="9">
        <f t="shared" si="0"/>
        <v>12.999999999999998</v>
      </c>
      <c r="J63" s="10">
        <v>-1.2E-4</v>
      </c>
      <c r="K63" s="9">
        <f t="shared" si="1"/>
        <v>6</v>
      </c>
      <c r="L63" s="9">
        <f t="shared" si="2"/>
        <v>1</v>
      </c>
      <c r="M63" s="9">
        <f t="shared" si="3"/>
        <v>0.41666666668606922</v>
      </c>
      <c r="N63" s="9">
        <f t="shared" si="4"/>
        <v>6</v>
      </c>
    </row>
    <row r="64" spans="1:14" x14ac:dyDescent="0.35">
      <c r="A64" s="2">
        <v>45891.708333333343</v>
      </c>
      <c r="B64" s="2">
        <v>45894.791666666657</v>
      </c>
      <c r="C64" s="14" t="s">
        <v>11</v>
      </c>
      <c r="D64" s="4"/>
      <c r="E64" s="4">
        <v>1.17184</v>
      </c>
      <c r="F64" s="4">
        <v>1.1654899999999999</v>
      </c>
      <c r="G64" s="4" t="s">
        <v>10</v>
      </c>
      <c r="H64" s="5">
        <v>6.0000000000000002E-5</v>
      </c>
      <c r="I64" s="4">
        <f t="shared" si="0"/>
        <v>6</v>
      </c>
      <c r="J64" s="15">
        <v>-6.0000000000000002E-5</v>
      </c>
      <c r="K64" s="4">
        <f t="shared" si="1"/>
        <v>6</v>
      </c>
      <c r="L64" s="4">
        <f t="shared" si="2"/>
        <v>1</v>
      </c>
      <c r="M64" s="4">
        <f t="shared" si="3"/>
        <v>3.0833333333139308</v>
      </c>
      <c r="N64" s="4">
        <f t="shared" si="4"/>
        <v>2</v>
      </c>
    </row>
    <row r="65" spans="1:14" x14ac:dyDescent="0.35">
      <c r="A65" s="7">
        <v>45894.916666666657</v>
      </c>
      <c r="B65" s="7">
        <v>45895.583333333343</v>
      </c>
      <c r="C65" s="13" t="s">
        <v>9</v>
      </c>
      <c r="D65" s="9">
        <v>1.1609799999999999</v>
      </c>
      <c r="E65" s="9"/>
      <c r="F65" s="9">
        <v>1.1654</v>
      </c>
      <c r="G65" s="9" t="s">
        <v>10</v>
      </c>
      <c r="H65" s="11">
        <v>4.0000000000000003E-5</v>
      </c>
      <c r="I65" s="9">
        <f t="shared" si="0"/>
        <v>4</v>
      </c>
      <c r="J65" s="10">
        <v>-2.0000000000000002E-5</v>
      </c>
      <c r="K65" s="9">
        <f t="shared" si="1"/>
        <v>2</v>
      </c>
      <c r="L65" s="9">
        <f t="shared" si="2"/>
        <v>1</v>
      </c>
      <c r="M65" s="9">
        <f t="shared" si="3"/>
        <v>0.66666666668606922</v>
      </c>
      <c r="N65" s="9">
        <f t="shared" si="4"/>
        <v>3</v>
      </c>
    </row>
    <row r="66" spans="1:14" x14ac:dyDescent="0.35">
      <c r="A66" s="2">
        <v>45896.458333333343</v>
      </c>
      <c r="B66" s="2">
        <v>45897.083333333343</v>
      </c>
      <c r="C66" s="3" t="s">
        <v>9</v>
      </c>
      <c r="D66" s="4">
        <v>1.15889</v>
      </c>
      <c r="E66" s="4"/>
      <c r="F66" s="4">
        <v>1.16476</v>
      </c>
      <c r="G66" s="4" t="s">
        <v>10</v>
      </c>
      <c r="H66" s="5">
        <v>6.0000000000000002E-5</v>
      </c>
      <c r="I66" s="4">
        <f t="shared" si="0"/>
        <v>6</v>
      </c>
      <c r="J66" s="6">
        <v>4.0000000000000003E-5</v>
      </c>
      <c r="K66" s="4">
        <f t="shared" si="1"/>
        <v>4</v>
      </c>
      <c r="L66" s="4">
        <f t="shared" si="2"/>
        <v>1</v>
      </c>
      <c r="M66" s="4">
        <f t="shared" si="3"/>
        <v>0.625</v>
      </c>
      <c r="N66" s="4">
        <f t="shared" si="4"/>
        <v>5</v>
      </c>
    </row>
    <row r="67" spans="1:14" x14ac:dyDescent="0.35">
      <c r="A67" s="7">
        <v>45897.625</v>
      </c>
      <c r="B67" s="7">
        <v>45902.416666666657</v>
      </c>
      <c r="C67" s="8" t="s">
        <v>11</v>
      </c>
      <c r="D67" s="9"/>
      <c r="E67" s="9">
        <v>1.16839</v>
      </c>
      <c r="F67" s="9">
        <v>1.16459</v>
      </c>
      <c r="G67" s="9" t="s">
        <v>10</v>
      </c>
      <c r="H67" s="11">
        <v>4.0000000000000003E-5</v>
      </c>
      <c r="I67" s="9">
        <f t="shared" ref="I67:I107" si="5">H67*100000</f>
        <v>4</v>
      </c>
      <c r="J67" s="12">
        <v>8.0000000000000007E-5</v>
      </c>
      <c r="K67" s="9">
        <f t="shared" ref="K67:K107" si="6">WEEKDAY(A67)</f>
        <v>5</v>
      </c>
      <c r="L67" s="9">
        <f t="shared" ref="L67:L107" si="7">IF(H67&gt;0,1,0)</f>
        <v>1</v>
      </c>
      <c r="M67" s="9">
        <f t="shared" ref="M67:M107" si="8">B67-A67</f>
        <v>4.7916666666569654</v>
      </c>
      <c r="N67" s="9">
        <f t="shared" ref="N67:N107" si="9">WEEKDAY(B67)</f>
        <v>3</v>
      </c>
    </row>
    <row r="68" spans="1:14" x14ac:dyDescent="0.35">
      <c r="A68" s="2">
        <v>45902.416666666657</v>
      </c>
      <c r="B68" s="2">
        <v>45903.708333333343</v>
      </c>
      <c r="C68" s="3" t="s">
        <v>9</v>
      </c>
      <c r="D68" s="4">
        <v>1.16459</v>
      </c>
      <c r="E68" s="4"/>
      <c r="F68" s="4">
        <v>1.1663699999999999</v>
      </c>
      <c r="G68" s="4" t="s">
        <v>10</v>
      </c>
      <c r="H68" s="5">
        <v>2.0000000000000002E-5</v>
      </c>
      <c r="I68" s="4">
        <f t="shared" si="5"/>
        <v>2</v>
      </c>
      <c r="J68" s="6">
        <v>1E-4</v>
      </c>
      <c r="K68" s="4">
        <f t="shared" si="6"/>
        <v>3</v>
      </c>
      <c r="L68" s="4">
        <f t="shared" si="7"/>
        <v>1</v>
      </c>
      <c r="M68" s="4">
        <f t="shared" si="8"/>
        <v>1.2916666666860692</v>
      </c>
      <c r="N68" s="4">
        <f t="shared" si="9"/>
        <v>4</v>
      </c>
    </row>
    <row r="69" spans="1:14" x14ac:dyDescent="0.35">
      <c r="A69" s="7">
        <v>45905.625</v>
      </c>
      <c r="B69" s="7">
        <v>45910.958333333343</v>
      </c>
      <c r="C69" s="8" t="s">
        <v>11</v>
      </c>
      <c r="D69" s="9"/>
      <c r="E69" s="9">
        <v>1.17344</v>
      </c>
      <c r="F69" s="9">
        <v>1.1695199999999999</v>
      </c>
      <c r="G69" s="9" t="s">
        <v>10</v>
      </c>
      <c r="H69" s="11">
        <v>4.0000000000000003E-5</v>
      </c>
      <c r="I69" s="9">
        <f t="shared" si="5"/>
        <v>4</v>
      </c>
      <c r="J69" s="12">
        <v>1.3999999999999999E-4</v>
      </c>
      <c r="K69" s="9">
        <f t="shared" si="6"/>
        <v>6</v>
      </c>
      <c r="L69" s="9">
        <f t="shared" si="7"/>
        <v>1</v>
      </c>
      <c r="M69" s="9">
        <f t="shared" si="8"/>
        <v>5.3333333333430346</v>
      </c>
      <c r="N69" s="9">
        <f t="shared" si="9"/>
        <v>4</v>
      </c>
    </row>
    <row r="70" spans="1:14" x14ac:dyDescent="0.35">
      <c r="A70" s="2">
        <v>45915.625</v>
      </c>
      <c r="B70" s="2">
        <v>45918.666666666657</v>
      </c>
      <c r="C70" s="14" t="s">
        <v>11</v>
      </c>
      <c r="D70" s="4"/>
      <c r="E70" s="4">
        <v>1.1769700000000001</v>
      </c>
      <c r="F70" s="4">
        <v>1.17672</v>
      </c>
      <c r="G70" s="4" t="s">
        <v>10</v>
      </c>
      <c r="H70" s="5">
        <v>0</v>
      </c>
      <c r="I70" s="4">
        <f t="shared" si="5"/>
        <v>0</v>
      </c>
      <c r="J70" s="6">
        <v>1.3999999999999999E-4</v>
      </c>
      <c r="K70" s="4">
        <f t="shared" si="6"/>
        <v>2</v>
      </c>
      <c r="L70" s="4">
        <f t="shared" si="7"/>
        <v>0</v>
      </c>
      <c r="M70" s="4">
        <f t="shared" si="8"/>
        <v>3.0416666666569654</v>
      </c>
      <c r="N70" s="4">
        <f t="shared" si="9"/>
        <v>5</v>
      </c>
    </row>
    <row r="71" spans="1:14" x14ac:dyDescent="0.35">
      <c r="A71" s="7">
        <v>45919.583333333343</v>
      </c>
      <c r="B71" s="7">
        <v>45922.5</v>
      </c>
      <c r="C71" s="13" t="s">
        <v>9</v>
      </c>
      <c r="D71" s="9">
        <v>1.1736899999999999</v>
      </c>
      <c r="E71" s="9"/>
      <c r="F71" s="9">
        <v>1.17761</v>
      </c>
      <c r="G71" s="9" t="s">
        <v>10</v>
      </c>
      <c r="H71" s="11">
        <v>4.0000000000000003E-5</v>
      </c>
      <c r="I71" s="9">
        <f t="shared" si="5"/>
        <v>4</v>
      </c>
      <c r="J71" s="12">
        <v>1.8000000000000001E-4</v>
      </c>
      <c r="K71" s="9">
        <f t="shared" si="6"/>
        <v>6</v>
      </c>
      <c r="L71" s="9">
        <f t="shared" si="7"/>
        <v>1</v>
      </c>
      <c r="M71" s="9">
        <f t="shared" si="8"/>
        <v>2.9166666666569654</v>
      </c>
      <c r="N71" s="9">
        <f t="shared" si="9"/>
        <v>2</v>
      </c>
    </row>
    <row r="72" spans="1:14" x14ac:dyDescent="0.35">
      <c r="A72" s="2">
        <v>45922.916666666657</v>
      </c>
      <c r="B72" s="2">
        <v>45924.458333333343</v>
      </c>
      <c r="C72" s="14" t="s">
        <v>11</v>
      </c>
      <c r="D72" s="4"/>
      <c r="E72" s="4">
        <v>1.18</v>
      </c>
      <c r="F72" s="4">
        <v>1.1772100000000001</v>
      </c>
      <c r="G72" s="4" t="s">
        <v>10</v>
      </c>
      <c r="H72" s="5">
        <v>3.0000000000000001E-5</v>
      </c>
      <c r="I72" s="4">
        <f t="shared" si="5"/>
        <v>3</v>
      </c>
      <c r="J72" s="6">
        <v>2.1000000000000001E-4</v>
      </c>
      <c r="K72" s="4">
        <f t="shared" si="6"/>
        <v>2</v>
      </c>
      <c r="L72" s="4">
        <f t="shared" si="7"/>
        <v>1</v>
      </c>
      <c r="M72" s="4">
        <f t="shared" si="8"/>
        <v>1.5416666666860692</v>
      </c>
      <c r="N72" s="4">
        <f t="shared" si="9"/>
        <v>4</v>
      </c>
    </row>
    <row r="73" spans="1:14" x14ac:dyDescent="0.35">
      <c r="A73" s="7">
        <v>45924.5</v>
      </c>
      <c r="B73" s="7">
        <v>45929.625</v>
      </c>
      <c r="C73" s="13" t="s">
        <v>9</v>
      </c>
      <c r="D73" s="9">
        <v>1.17679</v>
      </c>
      <c r="E73" s="9"/>
      <c r="F73" s="9">
        <v>1.175</v>
      </c>
      <c r="G73" s="9" t="s">
        <v>10</v>
      </c>
      <c r="H73" s="8">
        <v>-2.0000000000000002E-5</v>
      </c>
      <c r="I73" s="9">
        <f t="shared" si="5"/>
        <v>-2</v>
      </c>
      <c r="J73" s="12">
        <v>1.9000000000000001E-4</v>
      </c>
      <c r="K73" s="9">
        <f t="shared" si="6"/>
        <v>4</v>
      </c>
      <c r="L73" s="9">
        <f t="shared" si="7"/>
        <v>0</v>
      </c>
      <c r="M73" s="9">
        <f t="shared" si="8"/>
        <v>5.125</v>
      </c>
      <c r="N73" s="9">
        <f t="shared" si="9"/>
        <v>2</v>
      </c>
    </row>
    <row r="74" spans="1:14" x14ac:dyDescent="0.35">
      <c r="A74" s="2">
        <v>45929.625</v>
      </c>
      <c r="B74" s="2">
        <v>45929.708333333343</v>
      </c>
      <c r="C74" s="14" t="s">
        <v>11</v>
      </c>
      <c r="D74" s="4"/>
      <c r="E74" s="4">
        <v>1.175</v>
      </c>
      <c r="F74" s="4">
        <v>1.1730400000000001</v>
      </c>
      <c r="G74" s="4" t="s">
        <v>10</v>
      </c>
      <c r="H74" s="5">
        <v>2.0000000000000002E-5</v>
      </c>
      <c r="I74" s="4">
        <f t="shared" si="5"/>
        <v>2</v>
      </c>
      <c r="J74" s="6">
        <v>2.1000000000000001E-4</v>
      </c>
      <c r="K74" s="4">
        <f t="shared" si="6"/>
        <v>2</v>
      </c>
      <c r="L74" s="4">
        <f t="shared" si="7"/>
        <v>1</v>
      </c>
      <c r="M74" s="4">
        <f t="shared" si="8"/>
        <v>8.333333334303461E-2</v>
      </c>
      <c r="N74" s="4">
        <f t="shared" si="9"/>
        <v>2</v>
      </c>
    </row>
    <row r="75" spans="1:14" x14ac:dyDescent="0.35">
      <c r="A75" s="7">
        <v>45932.75</v>
      </c>
      <c r="B75" s="7">
        <v>45933.458333333343</v>
      </c>
      <c r="C75" s="13" t="s">
        <v>9</v>
      </c>
      <c r="D75" s="9">
        <v>1.16967</v>
      </c>
      <c r="E75" s="9"/>
      <c r="F75" s="9">
        <v>1.17404</v>
      </c>
      <c r="G75" s="9" t="s">
        <v>10</v>
      </c>
      <c r="H75" s="11">
        <v>4.0000000000000003E-5</v>
      </c>
      <c r="I75" s="9">
        <f t="shared" si="5"/>
        <v>4</v>
      </c>
      <c r="J75" s="12">
        <v>2.5000000000000001E-4</v>
      </c>
      <c r="K75" s="9">
        <f t="shared" si="6"/>
        <v>5</v>
      </c>
      <c r="L75" s="9">
        <f t="shared" si="7"/>
        <v>1</v>
      </c>
      <c r="M75" s="9">
        <f t="shared" si="8"/>
        <v>0.70833333334303461</v>
      </c>
      <c r="N75" s="9">
        <f t="shared" si="9"/>
        <v>6</v>
      </c>
    </row>
    <row r="76" spans="1:14" x14ac:dyDescent="0.35">
      <c r="A76" s="2">
        <v>45936.416666666657</v>
      </c>
      <c r="B76" s="2">
        <v>45945.375</v>
      </c>
      <c r="C76" s="3" t="s">
        <v>9</v>
      </c>
      <c r="D76" s="4">
        <v>1.16628</v>
      </c>
      <c r="E76" s="4"/>
      <c r="F76" s="4">
        <v>1.16343</v>
      </c>
      <c r="G76" s="4" t="s">
        <v>10</v>
      </c>
      <c r="H76" s="14">
        <v>-3.0000000000000001E-5</v>
      </c>
      <c r="I76" s="4">
        <f t="shared" si="5"/>
        <v>-3</v>
      </c>
      <c r="J76" s="6">
        <v>2.2000000000000001E-4</v>
      </c>
      <c r="K76" s="4">
        <f t="shared" si="6"/>
        <v>2</v>
      </c>
      <c r="L76" s="4">
        <f t="shared" si="7"/>
        <v>0</v>
      </c>
      <c r="M76" s="4">
        <f t="shared" si="8"/>
        <v>8.9583333333430346</v>
      </c>
      <c r="N76" s="4">
        <f t="shared" si="9"/>
        <v>4</v>
      </c>
    </row>
    <row r="77" spans="1:14" x14ac:dyDescent="0.35">
      <c r="A77" s="7">
        <v>45945.375</v>
      </c>
      <c r="B77" s="7">
        <v>45945.541666666657</v>
      </c>
      <c r="C77" s="8" t="s">
        <v>11</v>
      </c>
      <c r="D77" s="9"/>
      <c r="E77" s="9">
        <v>1.16343</v>
      </c>
      <c r="F77" s="9">
        <v>1.1624399999999999</v>
      </c>
      <c r="G77" s="9" t="s">
        <v>10</v>
      </c>
      <c r="H77" s="11">
        <v>1.0000000000000001E-5</v>
      </c>
      <c r="I77" s="9">
        <f t="shared" si="5"/>
        <v>1</v>
      </c>
      <c r="J77" s="12">
        <v>2.3000000000000001E-4</v>
      </c>
      <c r="K77" s="9">
        <f t="shared" si="6"/>
        <v>4</v>
      </c>
      <c r="L77" s="9">
        <f t="shared" si="7"/>
        <v>1</v>
      </c>
      <c r="M77" s="9">
        <f t="shared" si="8"/>
        <v>0.16666666665696539</v>
      </c>
      <c r="N77" s="9">
        <f t="shared" si="9"/>
        <v>4</v>
      </c>
    </row>
    <row r="78" spans="1:14" x14ac:dyDescent="0.35">
      <c r="A78" s="2">
        <v>45946.125</v>
      </c>
      <c r="B78" s="2">
        <v>45950.666666666657</v>
      </c>
      <c r="C78" s="14" t="s">
        <v>11</v>
      </c>
      <c r="D78" s="4"/>
      <c r="E78" s="4">
        <v>1.1663300000000001</v>
      </c>
      <c r="F78" s="4">
        <v>1.16492</v>
      </c>
      <c r="G78" s="4" t="s">
        <v>10</v>
      </c>
      <c r="H78" s="5">
        <v>1.0000000000000001E-5</v>
      </c>
      <c r="I78" s="4">
        <f t="shared" si="5"/>
        <v>1</v>
      </c>
      <c r="J78" s="6">
        <v>2.4000000000000001E-4</v>
      </c>
      <c r="K78" s="4">
        <f t="shared" si="6"/>
        <v>5</v>
      </c>
      <c r="L78" s="4">
        <f t="shared" si="7"/>
        <v>1</v>
      </c>
      <c r="M78" s="4">
        <f t="shared" si="8"/>
        <v>4.5416666666569654</v>
      </c>
      <c r="N78" s="4">
        <f t="shared" si="9"/>
        <v>2</v>
      </c>
    </row>
    <row r="79" spans="1:14" x14ac:dyDescent="0.35">
      <c r="A79" s="7">
        <v>45951.583333333343</v>
      </c>
      <c r="B79" s="7">
        <v>45954.625</v>
      </c>
      <c r="C79" s="13" t="s">
        <v>9</v>
      </c>
      <c r="D79" s="9">
        <v>1.1613</v>
      </c>
      <c r="E79" s="9"/>
      <c r="F79" s="9">
        <v>1.16343</v>
      </c>
      <c r="G79" s="9" t="s">
        <v>10</v>
      </c>
      <c r="H79" s="11">
        <v>2.0000000000000002E-5</v>
      </c>
      <c r="I79" s="9">
        <f t="shared" si="5"/>
        <v>2</v>
      </c>
      <c r="J79" s="12">
        <v>2.5999999999999998E-4</v>
      </c>
      <c r="K79" s="9">
        <f t="shared" si="6"/>
        <v>3</v>
      </c>
      <c r="L79" s="9">
        <f t="shared" si="7"/>
        <v>1</v>
      </c>
      <c r="M79" s="9">
        <f t="shared" si="8"/>
        <v>3.0416666666569654</v>
      </c>
      <c r="N79" s="9">
        <f t="shared" si="9"/>
        <v>6</v>
      </c>
    </row>
    <row r="80" spans="1:14" x14ac:dyDescent="0.35">
      <c r="A80" s="2">
        <v>45960.583333333343</v>
      </c>
      <c r="B80" s="2">
        <v>45967.916666666657</v>
      </c>
      <c r="C80" s="3" t="s">
        <v>9</v>
      </c>
      <c r="D80" s="4">
        <v>1.1554899999999999</v>
      </c>
      <c r="E80" s="4"/>
      <c r="F80" s="4">
        <v>1.1547700000000001</v>
      </c>
      <c r="G80" s="4" t="s">
        <v>10</v>
      </c>
      <c r="H80" s="14">
        <v>-1.0000000000000001E-5</v>
      </c>
      <c r="I80" s="4">
        <f t="shared" si="5"/>
        <v>-1</v>
      </c>
      <c r="J80" s="6">
        <v>2.5000000000000001E-4</v>
      </c>
      <c r="K80" s="4">
        <f t="shared" si="6"/>
        <v>5</v>
      </c>
      <c r="L80" s="4">
        <f t="shared" si="7"/>
        <v>0</v>
      </c>
      <c r="M80" s="4">
        <f t="shared" si="8"/>
        <v>7.3333333333139308</v>
      </c>
      <c r="N80" s="4">
        <f t="shared" si="9"/>
        <v>5</v>
      </c>
    </row>
    <row r="81" spans="1:14" x14ac:dyDescent="0.35">
      <c r="A81" s="7">
        <v>45968.625</v>
      </c>
      <c r="B81" s="7">
        <v>45971.041666666657</v>
      </c>
      <c r="C81" s="8" t="s">
        <v>11</v>
      </c>
      <c r="D81" s="9"/>
      <c r="E81" s="9">
        <v>1.1567700000000001</v>
      </c>
      <c r="F81" s="9">
        <v>1.1543300000000001</v>
      </c>
      <c r="G81" s="9" t="s">
        <v>10</v>
      </c>
      <c r="H81" s="11">
        <v>2.0000000000000002E-5</v>
      </c>
      <c r="I81" s="9">
        <f t="shared" si="5"/>
        <v>2</v>
      </c>
      <c r="J81" s="12">
        <v>2.7E-4</v>
      </c>
      <c r="K81" s="9">
        <f t="shared" si="6"/>
        <v>6</v>
      </c>
      <c r="L81" s="9">
        <f t="shared" si="7"/>
        <v>1</v>
      </c>
      <c r="M81" s="9">
        <f t="shared" si="8"/>
        <v>2.4166666666569654</v>
      </c>
      <c r="N81" s="9">
        <f t="shared" si="9"/>
        <v>2</v>
      </c>
    </row>
    <row r="82" spans="1:14" x14ac:dyDescent="0.35">
      <c r="A82" s="2">
        <v>45972.625</v>
      </c>
      <c r="B82" s="2">
        <v>45978.666666666657</v>
      </c>
      <c r="C82" s="14" t="s">
        <v>11</v>
      </c>
      <c r="D82" s="4"/>
      <c r="E82" s="4">
        <v>1.16011</v>
      </c>
      <c r="F82" s="4">
        <v>1.15859</v>
      </c>
      <c r="G82" s="4" t="s">
        <v>10</v>
      </c>
      <c r="H82" s="5">
        <v>2.0000000000000002E-5</v>
      </c>
      <c r="I82" s="4">
        <f t="shared" si="5"/>
        <v>2</v>
      </c>
      <c r="J82" s="6">
        <v>2.9E-4</v>
      </c>
      <c r="K82" s="4">
        <f t="shared" si="6"/>
        <v>3</v>
      </c>
      <c r="L82" s="4">
        <f t="shared" si="7"/>
        <v>1</v>
      </c>
      <c r="M82" s="4">
        <f t="shared" si="8"/>
        <v>6.0416666666569654</v>
      </c>
      <c r="N82" s="4">
        <f t="shared" si="9"/>
        <v>2</v>
      </c>
    </row>
    <row r="83" spans="1:14" x14ac:dyDescent="0.35">
      <c r="A83" s="7">
        <v>45980.75</v>
      </c>
      <c r="B83" s="7">
        <v>45986.625</v>
      </c>
      <c r="C83" s="13" t="s">
        <v>9</v>
      </c>
      <c r="D83" s="9">
        <v>1.1539699999999999</v>
      </c>
      <c r="E83" s="9"/>
      <c r="F83" s="9">
        <v>1.15584</v>
      </c>
      <c r="G83" s="9" t="s">
        <v>10</v>
      </c>
      <c r="H83" s="11">
        <v>2.0000000000000002E-5</v>
      </c>
      <c r="I83" s="9">
        <f t="shared" si="5"/>
        <v>2</v>
      </c>
      <c r="J83" s="12">
        <v>3.1E-4</v>
      </c>
      <c r="K83" s="9">
        <f t="shared" si="6"/>
        <v>4</v>
      </c>
      <c r="L83" s="9">
        <f t="shared" si="7"/>
        <v>1</v>
      </c>
      <c r="M83" s="9">
        <f t="shared" si="8"/>
        <v>5.875</v>
      </c>
      <c r="N83" s="9">
        <f t="shared" si="9"/>
        <v>3</v>
      </c>
    </row>
    <row r="84" spans="1:14" x14ac:dyDescent="0.35">
      <c r="A84" s="2">
        <v>45986.666666666657</v>
      </c>
      <c r="B84" s="2">
        <v>45987.625</v>
      </c>
      <c r="C84" s="14" t="s">
        <v>11</v>
      </c>
      <c r="D84" s="4"/>
      <c r="E84" s="4">
        <v>1.1566700000000001</v>
      </c>
      <c r="F84" s="4">
        <v>1.1552500000000001</v>
      </c>
      <c r="G84" s="4" t="s">
        <v>10</v>
      </c>
      <c r="H84" s="5">
        <v>1.0000000000000001E-5</v>
      </c>
      <c r="I84" s="4">
        <f t="shared" si="5"/>
        <v>1</v>
      </c>
      <c r="J84" s="6">
        <v>3.2000000000000003E-4</v>
      </c>
      <c r="K84" s="4">
        <f t="shared" si="6"/>
        <v>3</v>
      </c>
      <c r="L84" s="4">
        <f t="shared" si="7"/>
        <v>1</v>
      </c>
      <c r="M84" s="4">
        <f t="shared" si="8"/>
        <v>0.95833333334303461</v>
      </c>
      <c r="N84" s="4">
        <f t="shared" si="9"/>
        <v>4</v>
      </c>
    </row>
    <row r="85" spans="1:14" x14ac:dyDescent="0.35">
      <c r="A85" s="7">
        <v>45989.5</v>
      </c>
      <c r="B85" s="7">
        <v>45989.541666666657</v>
      </c>
      <c r="C85" s="13" t="s">
        <v>9</v>
      </c>
      <c r="D85" s="9">
        <v>1.1559200000000001</v>
      </c>
      <c r="E85" s="9"/>
      <c r="F85" s="9">
        <v>1.1568099999999999</v>
      </c>
      <c r="G85" s="9" t="s">
        <v>10</v>
      </c>
      <c r="H85" s="11">
        <v>1.0000000000000001E-5</v>
      </c>
      <c r="I85" s="9">
        <f t="shared" si="5"/>
        <v>1</v>
      </c>
      <c r="J85" s="12">
        <v>3.3E-4</v>
      </c>
      <c r="K85" s="9">
        <f t="shared" si="6"/>
        <v>6</v>
      </c>
      <c r="L85" s="9">
        <f t="shared" si="7"/>
        <v>1</v>
      </c>
      <c r="M85" s="9">
        <f t="shared" si="8"/>
        <v>4.166666665696539E-2</v>
      </c>
      <c r="N85" s="9">
        <f t="shared" si="9"/>
        <v>6</v>
      </c>
    </row>
    <row r="86" spans="1:14" x14ac:dyDescent="0.35">
      <c r="A86" s="2">
        <v>45992.5</v>
      </c>
      <c r="B86" s="2">
        <v>45999.708333333343</v>
      </c>
      <c r="C86" s="14" t="s">
        <v>11</v>
      </c>
      <c r="D86" s="4"/>
      <c r="E86" s="4">
        <v>1.1627700000000001</v>
      </c>
      <c r="F86" s="4">
        <v>1.16252</v>
      </c>
      <c r="G86" s="4" t="s">
        <v>10</v>
      </c>
      <c r="H86" s="5">
        <v>0</v>
      </c>
      <c r="I86" s="4">
        <f t="shared" si="5"/>
        <v>0</v>
      </c>
      <c r="J86" s="6">
        <v>3.3E-4</v>
      </c>
      <c r="K86" s="4">
        <f t="shared" si="6"/>
        <v>2</v>
      </c>
      <c r="L86" s="4">
        <f t="shared" si="7"/>
        <v>0</v>
      </c>
      <c r="M86" s="4">
        <f t="shared" si="8"/>
        <v>7.2083333333430346</v>
      </c>
      <c r="N86" s="4">
        <f t="shared" si="9"/>
        <v>2</v>
      </c>
    </row>
    <row r="87" spans="1:14" x14ac:dyDescent="0.35">
      <c r="A87" s="7">
        <v>46001.875</v>
      </c>
      <c r="B87" s="7">
        <v>46010.375</v>
      </c>
      <c r="C87" s="8" t="s">
        <v>11</v>
      </c>
      <c r="D87" s="9"/>
      <c r="E87" s="9">
        <v>1.16784</v>
      </c>
      <c r="F87" s="9">
        <v>1.1707799999999999</v>
      </c>
      <c r="G87" s="9" t="s">
        <v>10</v>
      </c>
      <c r="H87" s="8">
        <v>-3.0000000000000001E-5</v>
      </c>
      <c r="I87" s="9">
        <f t="shared" si="5"/>
        <v>-3</v>
      </c>
      <c r="J87" s="12">
        <v>2.9999999999999997E-4</v>
      </c>
      <c r="K87" s="9">
        <f t="shared" si="6"/>
        <v>4</v>
      </c>
      <c r="L87" s="9">
        <f t="shared" si="7"/>
        <v>0</v>
      </c>
      <c r="M87" s="9">
        <f t="shared" si="8"/>
        <v>8.5</v>
      </c>
      <c r="N87" s="9">
        <f t="shared" si="9"/>
        <v>6</v>
      </c>
    </row>
    <row r="88" spans="1:14" x14ac:dyDescent="0.35">
      <c r="A88" s="2">
        <v>46013.666666666657</v>
      </c>
      <c r="B88" s="2">
        <v>46021.833333333343</v>
      </c>
      <c r="C88" s="14" t="s">
        <v>11</v>
      </c>
      <c r="D88" s="4"/>
      <c r="E88" s="4">
        <v>1.1760299999999999</v>
      </c>
      <c r="F88" s="4">
        <v>1.17502</v>
      </c>
      <c r="G88" s="4" t="s">
        <v>10</v>
      </c>
      <c r="H88" s="5">
        <v>1.0000000000000001E-5</v>
      </c>
      <c r="I88" s="4">
        <f t="shared" si="5"/>
        <v>1</v>
      </c>
      <c r="J88" s="6">
        <v>3.1E-4</v>
      </c>
      <c r="K88" s="4">
        <f t="shared" si="6"/>
        <v>2</v>
      </c>
      <c r="L88" s="4">
        <f t="shared" si="7"/>
        <v>1</v>
      </c>
      <c r="M88" s="4">
        <f t="shared" si="8"/>
        <v>8.1666666666860692</v>
      </c>
      <c r="N88" s="4">
        <f t="shared" si="9"/>
        <v>3</v>
      </c>
    </row>
    <row r="89" spans="1:14" x14ac:dyDescent="0.35">
      <c r="A89" s="7">
        <v>46022.416666666657</v>
      </c>
      <c r="B89" s="7">
        <v>46022.583333333343</v>
      </c>
      <c r="C89" s="13" t="s">
        <v>9</v>
      </c>
      <c r="D89" s="9">
        <v>1.17231</v>
      </c>
      <c r="E89" s="9"/>
      <c r="F89" s="9">
        <v>1.17553</v>
      </c>
      <c r="G89" s="9" t="s">
        <v>10</v>
      </c>
      <c r="H89" s="11">
        <v>3.0000000000000001E-5</v>
      </c>
      <c r="I89" s="9">
        <f t="shared" si="5"/>
        <v>3</v>
      </c>
      <c r="J89" s="12">
        <v>3.4000000000000002E-4</v>
      </c>
      <c r="K89" s="9">
        <f t="shared" si="6"/>
        <v>4</v>
      </c>
      <c r="L89" s="9">
        <f t="shared" si="7"/>
        <v>1</v>
      </c>
      <c r="M89" s="9">
        <f t="shared" si="8"/>
        <v>0.16666666668606922</v>
      </c>
      <c r="N89" s="9">
        <f t="shared" si="9"/>
        <v>4</v>
      </c>
    </row>
    <row r="90" spans="1:14" x14ac:dyDescent="0.35">
      <c r="A90" s="2">
        <v>46027.208333333343</v>
      </c>
      <c r="B90" s="2">
        <v>46028.166666666657</v>
      </c>
      <c r="C90" s="3" t="s">
        <v>9</v>
      </c>
      <c r="D90" s="4">
        <v>1.16754</v>
      </c>
      <c r="E90" s="4"/>
      <c r="F90" s="4">
        <v>1.1737500000000001</v>
      </c>
      <c r="G90" s="4" t="s">
        <v>10</v>
      </c>
      <c r="H90" s="5">
        <v>6.0000000000000002E-5</v>
      </c>
      <c r="I90" s="4">
        <f t="shared" si="5"/>
        <v>6</v>
      </c>
      <c r="J90" s="6">
        <v>4.0000000000000002E-4</v>
      </c>
      <c r="K90" s="4">
        <f t="shared" si="6"/>
        <v>2</v>
      </c>
      <c r="L90" s="4">
        <f t="shared" si="7"/>
        <v>1</v>
      </c>
      <c r="M90" s="4">
        <f t="shared" si="8"/>
        <v>0.95833333331393078</v>
      </c>
      <c r="N90" s="4">
        <f t="shared" si="9"/>
        <v>3</v>
      </c>
    </row>
    <row r="91" spans="1:14" x14ac:dyDescent="0.35">
      <c r="A91" s="7">
        <v>46030.75</v>
      </c>
      <c r="B91" s="7">
        <v>46034.625</v>
      </c>
      <c r="C91" s="13" t="s">
        <v>9</v>
      </c>
      <c r="D91" s="9">
        <v>1.1654599999999999</v>
      </c>
      <c r="E91" s="9"/>
      <c r="F91" s="9">
        <v>1.1692899999999999</v>
      </c>
      <c r="G91" s="9" t="s">
        <v>10</v>
      </c>
      <c r="H91" s="11">
        <v>4.0000000000000003E-5</v>
      </c>
      <c r="I91" s="9">
        <f t="shared" si="5"/>
        <v>4</v>
      </c>
      <c r="J91" s="12">
        <v>4.4000000000000002E-4</v>
      </c>
      <c r="K91" s="9">
        <f t="shared" si="6"/>
        <v>5</v>
      </c>
      <c r="L91" s="9">
        <f t="shared" si="7"/>
        <v>1</v>
      </c>
      <c r="M91" s="9">
        <f t="shared" si="8"/>
        <v>3.875</v>
      </c>
      <c r="N91" s="9">
        <f t="shared" si="9"/>
        <v>2</v>
      </c>
    </row>
    <row r="92" spans="1:14" x14ac:dyDescent="0.35">
      <c r="A92" s="2">
        <v>46037.625</v>
      </c>
      <c r="B92" s="2">
        <v>46042.208333333343</v>
      </c>
      <c r="C92" s="3" t="s">
        <v>9</v>
      </c>
      <c r="D92" s="4">
        <v>1.1601399999999999</v>
      </c>
      <c r="E92" s="4"/>
      <c r="F92" s="4">
        <v>1.16567</v>
      </c>
      <c r="G92" s="4" t="s">
        <v>10</v>
      </c>
      <c r="H92" s="5">
        <v>6.0000000000000002E-5</v>
      </c>
      <c r="I92" s="4">
        <f t="shared" si="5"/>
        <v>6</v>
      </c>
      <c r="J92" s="6">
        <v>5.0000000000000001E-4</v>
      </c>
      <c r="K92" s="4">
        <f t="shared" si="6"/>
        <v>5</v>
      </c>
      <c r="L92" s="4">
        <f t="shared" si="7"/>
        <v>1</v>
      </c>
      <c r="M92" s="4">
        <f t="shared" si="8"/>
        <v>4.5833333333430346</v>
      </c>
      <c r="N92" s="4">
        <f t="shared" si="9"/>
        <v>3</v>
      </c>
    </row>
    <row r="93" spans="1:14" x14ac:dyDescent="0.35">
      <c r="A93" s="7">
        <v>46042.208333333343</v>
      </c>
      <c r="B93" s="7">
        <v>46052.916666666657</v>
      </c>
      <c r="C93" s="8" t="s">
        <v>11</v>
      </c>
      <c r="D93" s="9"/>
      <c r="E93" s="9">
        <v>1.16567</v>
      </c>
      <c r="F93" s="9">
        <v>1.1853199999999999</v>
      </c>
      <c r="G93" s="9" t="s">
        <v>10</v>
      </c>
      <c r="H93" s="8">
        <v>-2.0000000000000001E-4</v>
      </c>
      <c r="I93" s="9">
        <f t="shared" si="5"/>
        <v>-20</v>
      </c>
      <c r="J93" s="12">
        <v>2.9999999999999997E-4</v>
      </c>
      <c r="K93" s="9">
        <f t="shared" si="6"/>
        <v>3</v>
      </c>
      <c r="L93" s="9">
        <f t="shared" si="7"/>
        <v>0</v>
      </c>
      <c r="M93" s="9">
        <f t="shared" si="8"/>
        <v>10.708333333313931</v>
      </c>
      <c r="N93" s="9">
        <f t="shared" si="9"/>
        <v>6</v>
      </c>
    </row>
    <row r="94" spans="1:14" x14ac:dyDescent="0.35">
      <c r="A94" s="2">
        <v>46055</v>
      </c>
      <c r="B94" s="2">
        <v>46055.083333333343</v>
      </c>
      <c r="C94" s="3" t="s">
        <v>9</v>
      </c>
      <c r="D94" s="4">
        <v>1.1849000000000001</v>
      </c>
      <c r="E94" s="4"/>
      <c r="F94" s="4">
        <v>1.18668</v>
      </c>
      <c r="G94" s="4" t="s">
        <v>10</v>
      </c>
      <c r="H94" s="5">
        <v>2.0000000000000002E-5</v>
      </c>
      <c r="I94" s="4">
        <f t="shared" si="5"/>
        <v>2</v>
      </c>
      <c r="J94" s="6">
        <v>3.2000000000000003E-4</v>
      </c>
      <c r="K94" s="4">
        <f t="shared" si="6"/>
        <v>2</v>
      </c>
      <c r="L94" s="4">
        <f t="shared" si="7"/>
        <v>1</v>
      </c>
      <c r="M94" s="4">
        <f t="shared" si="8"/>
        <v>8.333333334303461E-2</v>
      </c>
      <c r="N94" s="4">
        <f t="shared" si="9"/>
        <v>2</v>
      </c>
    </row>
    <row r="95" spans="1:14" x14ac:dyDescent="0.35">
      <c r="A95" s="7">
        <v>46055.625</v>
      </c>
      <c r="B95" s="7">
        <v>46062.041666666657</v>
      </c>
      <c r="C95" s="13" t="s">
        <v>9</v>
      </c>
      <c r="D95" s="9">
        <v>1.1820900000000001</v>
      </c>
      <c r="E95" s="9"/>
      <c r="F95" s="9">
        <v>1.1826700000000001</v>
      </c>
      <c r="G95" s="9" t="s">
        <v>10</v>
      </c>
      <c r="H95" s="11">
        <v>1.0000000000000001E-5</v>
      </c>
      <c r="I95" s="9">
        <f t="shared" si="5"/>
        <v>1</v>
      </c>
      <c r="J95" s="12">
        <v>3.3E-4</v>
      </c>
      <c r="K95" s="9">
        <f t="shared" si="6"/>
        <v>2</v>
      </c>
      <c r="L95" s="9">
        <f t="shared" si="7"/>
        <v>1</v>
      </c>
      <c r="M95" s="9">
        <f t="shared" si="8"/>
        <v>6.4166666666569654</v>
      </c>
      <c r="N95" s="9">
        <f t="shared" si="9"/>
        <v>2</v>
      </c>
    </row>
    <row r="96" spans="1:14" x14ac:dyDescent="0.35">
      <c r="A96" s="2">
        <v>46062.333333333343</v>
      </c>
      <c r="B96" s="2">
        <v>46066.291666666657</v>
      </c>
      <c r="C96" s="14" t="s">
        <v>11</v>
      </c>
      <c r="D96" s="4"/>
      <c r="E96" s="4">
        <v>1.1852</v>
      </c>
      <c r="F96" s="4">
        <v>1.1859599999999999</v>
      </c>
      <c r="G96" s="4" t="s">
        <v>10</v>
      </c>
      <c r="H96" s="14">
        <v>-1.0000000000000001E-5</v>
      </c>
      <c r="I96" s="4">
        <f t="shared" si="5"/>
        <v>-1</v>
      </c>
      <c r="J96" s="6">
        <v>3.2000000000000003E-4</v>
      </c>
      <c r="K96" s="4">
        <f t="shared" si="6"/>
        <v>2</v>
      </c>
      <c r="L96" s="4">
        <f t="shared" si="7"/>
        <v>0</v>
      </c>
      <c r="M96" s="4">
        <f t="shared" si="8"/>
        <v>3.9583333333139308</v>
      </c>
      <c r="N96" s="4">
        <f t="shared" si="9"/>
        <v>6</v>
      </c>
    </row>
    <row r="97" spans="1:14" x14ac:dyDescent="0.35">
      <c r="A97" s="7">
        <v>46070.375</v>
      </c>
      <c r="B97" s="7">
        <v>46076.041666666657</v>
      </c>
      <c r="C97" s="13" t="s">
        <v>9</v>
      </c>
      <c r="D97" s="9">
        <v>1.18327</v>
      </c>
      <c r="E97" s="9"/>
      <c r="F97" s="9">
        <v>1.1833499999999999</v>
      </c>
      <c r="G97" s="9" t="s">
        <v>10</v>
      </c>
      <c r="H97" s="11">
        <v>0</v>
      </c>
      <c r="I97" s="9">
        <f t="shared" si="5"/>
        <v>0</v>
      </c>
      <c r="J97" s="12">
        <v>3.2000000000000003E-4</v>
      </c>
      <c r="K97" s="9">
        <f t="shared" si="6"/>
        <v>3</v>
      </c>
      <c r="L97" s="9">
        <f t="shared" si="7"/>
        <v>0</v>
      </c>
      <c r="M97" s="9">
        <f t="shared" si="8"/>
        <v>5.6666666666569654</v>
      </c>
      <c r="N97" s="9">
        <f t="shared" si="9"/>
        <v>2</v>
      </c>
    </row>
    <row r="98" spans="1:14" x14ac:dyDescent="0.35">
      <c r="A98" s="2">
        <v>46076.041666666657</v>
      </c>
      <c r="B98" s="2">
        <v>46076.25</v>
      </c>
      <c r="C98" s="14" t="s">
        <v>11</v>
      </c>
      <c r="D98" s="4"/>
      <c r="E98" s="4">
        <v>1.1833499999999999</v>
      </c>
      <c r="F98" s="4">
        <v>1.1820999999999999</v>
      </c>
      <c r="G98" s="4" t="s">
        <v>10</v>
      </c>
      <c r="H98" s="5">
        <v>1.0000000000000001E-5</v>
      </c>
      <c r="I98" s="4">
        <f t="shared" si="5"/>
        <v>1</v>
      </c>
      <c r="J98" s="6">
        <v>3.3E-4</v>
      </c>
      <c r="K98" s="4">
        <f t="shared" si="6"/>
        <v>2</v>
      </c>
      <c r="L98" s="4">
        <f t="shared" si="7"/>
        <v>1</v>
      </c>
      <c r="M98" s="4">
        <f t="shared" si="8"/>
        <v>0.20833333334303461</v>
      </c>
      <c r="N98" s="4">
        <f t="shared" si="9"/>
        <v>2</v>
      </c>
    </row>
    <row r="99" spans="1:14" x14ac:dyDescent="0.35">
      <c r="A99" s="7">
        <v>46079.125</v>
      </c>
      <c r="B99" s="7">
        <v>46079.416666666657</v>
      </c>
      <c r="C99" s="8" t="s">
        <v>11</v>
      </c>
      <c r="D99" s="9"/>
      <c r="E99" s="9">
        <v>1.1827300000000001</v>
      </c>
      <c r="F99" s="9">
        <v>1.1802699999999999</v>
      </c>
      <c r="G99" s="9" t="s">
        <v>10</v>
      </c>
      <c r="H99" s="11">
        <v>2.0000000000000002E-5</v>
      </c>
      <c r="I99" s="9">
        <f t="shared" si="5"/>
        <v>2</v>
      </c>
      <c r="J99" s="12">
        <v>3.5E-4</v>
      </c>
      <c r="K99" s="9">
        <f t="shared" si="6"/>
        <v>5</v>
      </c>
      <c r="L99" s="9">
        <f t="shared" si="7"/>
        <v>1</v>
      </c>
      <c r="M99" s="9">
        <f t="shared" si="8"/>
        <v>0.29166666665696539</v>
      </c>
      <c r="N99" s="9">
        <f t="shared" si="9"/>
        <v>5</v>
      </c>
    </row>
    <row r="100" spans="1:14" x14ac:dyDescent="0.35">
      <c r="A100" s="2">
        <v>46083.333333333343</v>
      </c>
      <c r="B100" s="2">
        <v>46091.375</v>
      </c>
      <c r="C100" s="3" t="s">
        <v>9</v>
      </c>
      <c r="D100" s="4">
        <v>1.17323</v>
      </c>
      <c r="E100" s="4"/>
      <c r="F100" s="4">
        <v>1.1660900000000001</v>
      </c>
      <c r="G100" s="4" t="s">
        <v>10</v>
      </c>
      <c r="H100" s="14">
        <v>-6.9999999999999994E-5</v>
      </c>
      <c r="I100" s="4">
        <f t="shared" si="5"/>
        <v>-6.9999999999999991</v>
      </c>
      <c r="J100" s="6">
        <v>2.7999999999999998E-4</v>
      </c>
      <c r="K100" s="4">
        <f t="shared" si="6"/>
        <v>2</v>
      </c>
      <c r="L100" s="4">
        <f t="shared" si="7"/>
        <v>0</v>
      </c>
      <c r="M100" s="4">
        <f t="shared" si="8"/>
        <v>8.0416666666569654</v>
      </c>
      <c r="N100" s="4">
        <f t="shared" si="9"/>
        <v>3</v>
      </c>
    </row>
    <row r="101" spans="1:14" x14ac:dyDescent="0.35">
      <c r="A101" s="7">
        <v>46093.041666666657</v>
      </c>
      <c r="B101" s="7">
        <v>46100.75</v>
      </c>
      <c r="C101" s="13" t="s">
        <v>9</v>
      </c>
      <c r="D101" s="9">
        <v>1.1542699999999999</v>
      </c>
      <c r="E101" s="9"/>
      <c r="F101" s="9">
        <v>1.1536200000000001</v>
      </c>
      <c r="G101" s="9" t="s">
        <v>10</v>
      </c>
      <c r="H101" s="8">
        <v>-1.0000000000000001E-5</v>
      </c>
      <c r="I101" s="9">
        <f t="shared" si="5"/>
        <v>-1</v>
      </c>
      <c r="J101" s="12">
        <v>2.7E-4</v>
      </c>
      <c r="K101" s="9">
        <f t="shared" si="6"/>
        <v>5</v>
      </c>
      <c r="L101" s="9">
        <f t="shared" si="7"/>
        <v>0</v>
      </c>
      <c r="M101" s="9">
        <f t="shared" si="8"/>
        <v>7.7083333333430346</v>
      </c>
      <c r="N101" s="9">
        <f t="shared" si="9"/>
        <v>5</v>
      </c>
    </row>
    <row r="102" spans="1:14" x14ac:dyDescent="0.35">
      <c r="A102" s="2">
        <v>46100.791666666657</v>
      </c>
      <c r="B102" s="2">
        <v>46101.666666666657</v>
      </c>
      <c r="C102" s="14" t="s">
        <v>11</v>
      </c>
      <c r="D102" s="4"/>
      <c r="E102" s="4">
        <v>1.15604</v>
      </c>
      <c r="F102" s="4">
        <v>1.1535</v>
      </c>
      <c r="G102" s="4" t="s">
        <v>10</v>
      </c>
      <c r="H102" s="5">
        <v>3.0000000000000001E-5</v>
      </c>
      <c r="I102" s="4">
        <f t="shared" si="5"/>
        <v>3</v>
      </c>
      <c r="J102" s="6">
        <v>2.9999999999999997E-4</v>
      </c>
      <c r="K102" s="4">
        <f t="shared" si="6"/>
        <v>5</v>
      </c>
      <c r="L102" s="4">
        <f t="shared" si="7"/>
        <v>1</v>
      </c>
      <c r="M102" s="4">
        <f t="shared" si="8"/>
        <v>0.875</v>
      </c>
      <c r="N102" s="4">
        <f t="shared" si="9"/>
        <v>6</v>
      </c>
    </row>
    <row r="103" spans="1:14" x14ac:dyDescent="0.35">
      <c r="A103" s="7">
        <v>46104.5</v>
      </c>
      <c r="B103" s="7">
        <v>46104.541666666657</v>
      </c>
      <c r="C103" s="13" t="s">
        <v>9</v>
      </c>
      <c r="D103" s="9">
        <v>1.1485799999999999</v>
      </c>
      <c r="E103" s="9"/>
      <c r="F103" s="9">
        <v>1.1556599999999999</v>
      </c>
      <c r="G103" s="9" t="s">
        <v>10</v>
      </c>
      <c r="H103" s="11">
        <v>6.9999999999999994E-5</v>
      </c>
      <c r="I103" s="9">
        <f t="shared" si="5"/>
        <v>6.9999999999999991</v>
      </c>
      <c r="J103" s="12">
        <v>3.6999999999999999E-4</v>
      </c>
      <c r="K103" s="9">
        <f t="shared" si="6"/>
        <v>2</v>
      </c>
      <c r="L103" s="9">
        <f t="shared" si="7"/>
        <v>1</v>
      </c>
      <c r="M103" s="9">
        <f t="shared" si="8"/>
        <v>4.166666665696539E-2</v>
      </c>
      <c r="N103" s="9">
        <f t="shared" si="9"/>
        <v>2</v>
      </c>
    </row>
    <row r="104" spans="1:14" x14ac:dyDescent="0.35">
      <c r="A104" s="2">
        <v>46111.041666666657</v>
      </c>
      <c r="B104" s="2">
        <v>46112.666666666657</v>
      </c>
      <c r="C104" s="3" t="s">
        <v>9</v>
      </c>
      <c r="D104" s="4">
        <v>1.14886</v>
      </c>
      <c r="E104" s="4"/>
      <c r="F104" s="4">
        <v>1.15327</v>
      </c>
      <c r="G104" s="4" t="s">
        <v>10</v>
      </c>
      <c r="H104" s="5">
        <v>4.0000000000000003E-5</v>
      </c>
      <c r="I104" s="4">
        <f t="shared" si="5"/>
        <v>4</v>
      </c>
      <c r="J104" s="6">
        <v>4.0999999999999999E-4</v>
      </c>
      <c r="K104" s="4">
        <f t="shared" si="6"/>
        <v>2</v>
      </c>
      <c r="L104" s="4">
        <f t="shared" si="7"/>
        <v>1</v>
      </c>
      <c r="M104" s="4">
        <f t="shared" si="8"/>
        <v>1.625</v>
      </c>
      <c r="N104" s="4">
        <f t="shared" si="9"/>
        <v>3</v>
      </c>
    </row>
    <row r="105" spans="1:14" x14ac:dyDescent="0.35">
      <c r="A105" s="7">
        <v>46112.666666666657</v>
      </c>
      <c r="B105" s="7">
        <v>46112.708333333343</v>
      </c>
      <c r="C105" s="8" t="s">
        <v>11</v>
      </c>
      <c r="D105" s="9"/>
      <c r="E105" s="9">
        <v>1.15327</v>
      </c>
      <c r="F105" s="9">
        <v>1.15202</v>
      </c>
      <c r="G105" s="9" t="s">
        <v>10</v>
      </c>
      <c r="H105" s="11">
        <v>1.0000000000000001E-5</v>
      </c>
      <c r="I105" s="9">
        <f t="shared" si="5"/>
        <v>1</v>
      </c>
      <c r="J105" s="12">
        <v>4.2000000000000002E-4</v>
      </c>
      <c r="K105" s="9">
        <f t="shared" si="6"/>
        <v>3</v>
      </c>
      <c r="L105" s="9">
        <f t="shared" si="7"/>
        <v>1</v>
      </c>
      <c r="M105" s="9">
        <f t="shared" si="8"/>
        <v>4.166666668606922E-2</v>
      </c>
      <c r="N105" s="9">
        <f t="shared" si="9"/>
        <v>3</v>
      </c>
    </row>
    <row r="106" spans="1:14" x14ac:dyDescent="0.35">
      <c r="A106" s="2">
        <v>46112.791666666657</v>
      </c>
      <c r="B106" s="2">
        <v>46114.25</v>
      </c>
      <c r="C106" s="14" t="s">
        <v>11</v>
      </c>
      <c r="D106" s="4"/>
      <c r="E106" s="4">
        <v>1.15405</v>
      </c>
      <c r="F106" s="4">
        <v>1.1539900000000001</v>
      </c>
      <c r="G106" s="4" t="s">
        <v>10</v>
      </c>
      <c r="H106" s="5">
        <v>0</v>
      </c>
      <c r="I106" s="4">
        <f t="shared" si="5"/>
        <v>0</v>
      </c>
      <c r="J106" s="6">
        <v>4.2000000000000002E-4</v>
      </c>
      <c r="K106" s="4">
        <f t="shared" si="6"/>
        <v>3</v>
      </c>
      <c r="L106" s="4">
        <f t="shared" si="7"/>
        <v>0</v>
      </c>
      <c r="M106" s="4">
        <f t="shared" si="8"/>
        <v>1.4583333333430346</v>
      </c>
      <c r="N106" s="4">
        <f t="shared" si="9"/>
        <v>5</v>
      </c>
    </row>
    <row r="107" spans="1:14" x14ac:dyDescent="0.35">
      <c r="A107" s="7">
        <v>46118.416666666657</v>
      </c>
      <c r="B107" s="7">
        <v>46119.125</v>
      </c>
      <c r="C107" s="8" t="s">
        <v>11</v>
      </c>
      <c r="D107" s="9"/>
      <c r="E107" s="9">
        <v>1.1564300000000001</v>
      </c>
      <c r="F107" s="9">
        <v>1.1537599999999999</v>
      </c>
      <c r="G107" s="9" t="s">
        <v>10</v>
      </c>
      <c r="H107" s="11">
        <v>3.0000000000000001E-5</v>
      </c>
      <c r="I107" s="9">
        <f t="shared" si="5"/>
        <v>3</v>
      </c>
      <c r="J107" s="12">
        <v>4.4999999999999999E-4</v>
      </c>
      <c r="K107" s="9">
        <f t="shared" si="6"/>
        <v>2</v>
      </c>
      <c r="L107" s="9">
        <f t="shared" si="7"/>
        <v>1</v>
      </c>
      <c r="M107" s="9">
        <f t="shared" si="8"/>
        <v>0.70833333334303461</v>
      </c>
      <c r="N107" s="9">
        <f t="shared" si="9"/>
        <v>3</v>
      </c>
    </row>
  </sheetData>
  <autoFilter ref="A1:L107" xr:uid="{00000000-0001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90" zoomScaleNormal="190" workbookViewId="0">
      <selection activeCell="B8" sqref="B8"/>
    </sheetView>
  </sheetViews>
  <sheetFormatPr baseColWidth="10" defaultColWidth="8.7265625" defaultRowHeight="14.5" x14ac:dyDescent="0.35"/>
  <cols>
    <col min="1" max="1" width="22" customWidth="1"/>
    <col min="2" max="2" width="18" customWidth="1"/>
  </cols>
  <sheetData>
    <row r="1" spans="1:2" ht="28" customHeight="1" x14ac:dyDescent="0.35">
      <c r="A1" s="24" t="s">
        <v>13</v>
      </c>
      <c r="B1" s="25"/>
    </row>
    <row r="2" spans="1:2" x14ac:dyDescent="0.35">
      <c r="A2" s="16" t="s">
        <v>14</v>
      </c>
      <c r="B2" s="17">
        <v>106</v>
      </c>
    </row>
    <row r="3" spans="1:2" x14ac:dyDescent="0.35">
      <c r="A3" s="18" t="s">
        <v>15</v>
      </c>
      <c r="B3" s="19">
        <v>74</v>
      </c>
    </row>
    <row r="4" spans="1:2" x14ac:dyDescent="0.35">
      <c r="A4" s="16" t="s">
        <v>16</v>
      </c>
      <c r="B4" s="17">
        <v>22</v>
      </c>
    </row>
    <row r="5" spans="1:2" x14ac:dyDescent="0.35">
      <c r="A5" s="18" t="s">
        <v>17</v>
      </c>
      <c r="B5" s="19" t="s">
        <v>18</v>
      </c>
    </row>
    <row r="6" spans="1:2" x14ac:dyDescent="0.35">
      <c r="A6" s="16" t="s">
        <v>19</v>
      </c>
      <c r="B6" s="20">
        <v>4.4999999999999999E-4</v>
      </c>
    </row>
    <row r="7" spans="1:2" x14ac:dyDescent="0.35">
      <c r="A7" s="18" t="s">
        <v>20</v>
      </c>
      <c r="B7" s="19">
        <v>4.0000000000000003E-5</v>
      </c>
    </row>
    <row r="8" spans="1:2" x14ac:dyDescent="0.35">
      <c r="A8" s="16" t="s">
        <v>21</v>
      </c>
      <c r="B8" s="17">
        <v>-1.1E-4</v>
      </c>
    </row>
    <row r="9" spans="1:2" x14ac:dyDescent="0.35">
      <c r="A9" s="18" t="s">
        <v>22</v>
      </c>
      <c r="B9" s="19">
        <v>0.35</v>
      </c>
    </row>
    <row r="10" spans="1:2" x14ac:dyDescent="0.35">
      <c r="A10" s="16" t="s">
        <v>23</v>
      </c>
      <c r="B10" s="17">
        <v>-9.7999999999999997E-4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Analisis_1</vt:lpstr>
      <vt:lpstr>Analisis_2</vt:lpstr>
      <vt:lpstr>Analisis_3</vt:lpstr>
      <vt:lpstr>Trades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Ospina Valencia</cp:lastModifiedBy>
  <dcterms:created xsi:type="dcterms:W3CDTF">2026-04-08T23:37:45Z</dcterms:created>
  <dcterms:modified xsi:type="dcterms:W3CDTF">2026-04-09T00:49:03Z</dcterms:modified>
</cp:coreProperties>
</file>